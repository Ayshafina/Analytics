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5AEFC2A-1B99-4612-AD2F-2067B377230E}" xr6:coauthVersionLast="47" xr6:coauthVersionMax="47" xr10:uidLastSave="{00000000-0000-0000-0000-000000000000}"/>
  <bookViews>
    <workbookView xWindow="-108" yWindow="-108" windowWidth="23256" windowHeight="12456" tabRatio="651" activeTab="5" xr2:uid="{00000000-000D-0000-FFFF-FFFF00000000}"/>
  </bookViews>
  <sheets>
    <sheet name="FIND SEARCH MID" sheetId="4" r:id="rId1"/>
    <sheet name="LEFT RIGHT" sheetId="5" r:id="rId2"/>
    <sheet name="TRIM" sheetId="6" r:id="rId3"/>
    <sheet name="CONCATENATE" sheetId="7" r:id="rId4"/>
    <sheet name="UPPER LOWER PROPER" sheetId="8" r:id="rId5"/>
    <sheet name="REPLACE SUBSTITUTE" sheetId="1" r:id="rId6"/>
  </sheets>
  <definedNames>
    <definedName name="_xlnm._FilterDatabase" localSheetId="0" hidden="1">'FIND SEARCH MID'!$D$1:$D$14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" i="7" l="1" a="1"/>
  <c r="O10" i="7" s="1"/>
  <c r="O5" i="7" a="1"/>
  <c r="O5" i="7" s="1"/>
  <c r="O6" i="7" a="1"/>
  <c r="O6" i="7"/>
  <c r="O7" i="7" a="1"/>
  <c r="O7" i="7" s="1"/>
  <c r="O8" i="7" a="1"/>
  <c r="O8" i="7"/>
  <c r="O9" i="7" a="1"/>
  <c r="O9" i="7" s="1"/>
  <c r="O11" i="7" a="1"/>
  <c r="O11" i="7" s="1"/>
  <c r="O18" i="7"/>
  <c r="O4" i="7" a="1"/>
  <c r="O4" i="7" s="1"/>
  <c r="J2" i="7" a="1"/>
  <c r="J2" i="7" s="1"/>
  <c r="J3" i="7" a="1"/>
  <c r="J3" i="7" s="1"/>
  <c r="J4" i="7" a="1"/>
  <c r="J4" i="7" s="1"/>
  <c r="J5" i="7" a="1"/>
  <c r="J5" i="7" s="1"/>
  <c r="J6" i="7" a="1"/>
  <c r="J6" i="7" s="1"/>
  <c r="J7" i="7" a="1"/>
  <c r="J7" i="7" s="1"/>
  <c r="J8" i="7" a="1"/>
  <c r="J8" i="7" s="1"/>
  <c r="J9" i="7" a="1"/>
  <c r="J9" i="7" s="1"/>
  <c r="J10" i="7" a="1"/>
  <c r="J10" i="7" s="1"/>
  <c r="J11" i="7" a="1"/>
  <c r="J11" i="7" s="1"/>
  <c r="J12" i="7" a="1"/>
  <c r="J12" i="7" s="1"/>
  <c r="J13" i="7" a="1"/>
  <c r="J13" i="7" s="1"/>
  <c r="J14" i="7" a="1"/>
  <c r="J14" i="7" s="1"/>
  <c r="J1" i="7" a="1"/>
  <c r="J1" i="7" s="1"/>
  <c r="E10" i="1"/>
  <c r="B15" i="1"/>
  <c r="B10" i="1"/>
  <c r="B3" i="1"/>
  <c r="B4" i="1"/>
  <c r="B5" i="1"/>
  <c r="B6" i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E2" i="8"/>
  <c r="D2" i="8"/>
  <c r="B2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" i="6"/>
  <c r="G13" i="5"/>
  <c r="G11" i="5"/>
  <c r="G9" i="5"/>
  <c r="G10" i="5"/>
  <c r="G8" i="5"/>
  <c r="G3" i="5"/>
  <c r="F14" i="5"/>
  <c r="F13" i="5"/>
  <c r="F12" i="5"/>
  <c r="F11" i="5"/>
  <c r="F9" i="5"/>
  <c r="F8" i="5"/>
  <c r="F7" i="5"/>
  <c r="F6" i="5"/>
  <c r="F5" i="5"/>
  <c r="F4" i="5"/>
  <c r="F3" i="5"/>
  <c r="F2" i="5"/>
  <c r="F10" i="5"/>
  <c r="D2" i="5"/>
  <c r="B3" i="5"/>
  <c r="B2" i="5"/>
  <c r="E2" i="4"/>
  <c r="C5" i="4"/>
  <c r="C3" i="4"/>
  <c r="C6" i="4"/>
  <c r="C4" i="4"/>
  <c r="C2" i="4"/>
  <c r="B4" i="4"/>
  <c r="B3" i="4"/>
  <c r="B5" i="4"/>
  <c r="B6" i="4"/>
  <c r="B7" i="4"/>
  <c r="B8" i="4"/>
  <c r="B9" i="4"/>
  <c r="B10" i="4"/>
  <c r="B11" i="4"/>
  <c r="B12" i="4"/>
  <c r="B13" i="4"/>
  <c r="B14" i="4"/>
  <c r="B15" i="4"/>
  <c r="B16" i="4"/>
  <c r="B2" i="4"/>
  <c r="E4" i="4" l="1"/>
  <c r="E3" i="4"/>
  <c r="E16" i="1"/>
  <c r="E17" i="1"/>
  <c r="E18" i="1"/>
  <c r="E15" i="1"/>
  <c r="E11" i="1"/>
  <c r="E12" i="1"/>
  <c r="E13" i="1"/>
  <c r="B16" i="1"/>
  <c r="B17" i="1"/>
  <c r="B18" i="1"/>
  <c r="B11" i="1"/>
  <c r="B12" i="1"/>
  <c r="B13" i="1"/>
  <c r="E4" i="1"/>
  <c r="E5" i="1"/>
  <c r="E6" i="1"/>
  <c r="E3" i="1"/>
  <c r="G2" i="5"/>
  <c r="G4" i="5"/>
  <c r="G5" i="5"/>
  <c r="G6" i="5"/>
  <c r="G7" i="5"/>
  <c r="G12" i="5"/>
  <c r="G14" i="5"/>
  <c r="G15" i="5"/>
  <c r="G16" i="5"/>
  <c r="G17" i="5"/>
  <c r="G18" i="5"/>
  <c r="G19" i="5"/>
  <c r="G20" i="5"/>
  <c r="G21" i="5"/>
  <c r="G22" i="5"/>
  <c r="F15" i="5"/>
  <c r="F16" i="5"/>
  <c r="F17" i="5"/>
  <c r="F18" i="5"/>
  <c r="F19" i="5"/>
  <c r="F20" i="5"/>
  <c r="F21" i="5"/>
  <c r="F2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B15" i="5"/>
  <c r="B16" i="5"/>
  <c r="B17" i="5"/>
  <c r="B18" i="5"/>
  <c r="B19" i="5"/>
  <c r="B20" i="5"/>
  <c r="B21" i="5"/>
  <c r="B22" i="5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<sst xmlns="http://schemas.openxmlformats.org/spreadsheetml/2006/main" count="354" uniqueCount="291">
  <si>
    <t>Contact</t>
  </si>
  <si>
    <t>First</t>
  </si>
  <si>
    <t>Last</t>
  </si>
  <si>
    <t>Part #</t>
  </si>
  <si>
    <t>O'Brien, Donna</t>
  </si>
  <si>
    <t>MARK</t>
  </si>
  <si>
    <t>BAKER</t>
  </si>
  <si>
    <t>9C0K904</t>
  </si>
  <si>
    <t>Boulder, CO 80304</t>
  </si>
  <si>
    <t>SHEILA</t>
  </si>
  <si>
    <t>HANSEN</t>
  </si>
  <si>
    <t>Kenton, OH 43326</t>
  </si>
  <si>
    <t>MARILYN</t>
  </si>
  <si>
    <t>FIER</t>
  </si>
  <si>
    <t>Bardstown, KY 40004</t>
  </si>
  <si>
    <t>MORRIS</t>
  </si>
  <si>
    <t>Arvada, CO 80002</t>
  </si>
  <si>
    <t>FIER, MARILYN</t>
  </si>
  <si>
    <t>JUSSI</t>
  </si>
  <si>
    <t>BJÖRLING</t>
  </si>
  <si>
    <t>Wheat Ridge, CO 80033</t>
  </si>
  <si>
    <t>Pueblo, CO 81008</t>
  </si>
  <si>
    <t>JACKIE</t>
  </si>
  <si>
    <t>Westminster, CO 80234</t>
  </si>
  <si>
    <t>RICCARDO</t>
  </si>
  <si>
    <t>MUTI</t>
  </si>
  <si>
    <t>Cincinnati, OH 45220</t>
  </si>
  <si>
    <t>FITZGERALD, JACKIE</t>
  </si>
  <si>
    <t>LIESL</t>
  </si>
  <si>
    <t>TIDWELL</t>
  </si>
  <si>
    <t>Walnut Creek, CA 94596</t>
  </si>
  <si>
    <t>TIDWELL, LIESL</t>
  </si>
  <si>
    <t>JEFFREY</t>
  </si>
  <si>
    <t>EATON</t>
  </si>
  <si>
    <t>EATON, JEFFREY</t>
  </si>
  <si>
    <t>KAREN</t>
  </si>
  <si>
    <t>CHAMBERS</t>
  </si>
  <si>
    <t>Aurora, CO 80014</t>
  </si>
  <si>
    <t>CHAMBERS, KAREN</t>
  </si>
  <si>
    <t>San Francisco, CA 94111</t>
  </si>
  <si>
    <t>PEREZ, BARNEY</t>
  </si>
  <si>
    <t>CATHY</t>
  </si>
  <si>
    <t>WATANUKI, CATHY</t>
  </si>
  <si>
    <t>GEORGE</t>
  </si>
  <si>
    <t>PORTER</t>
  </si>
  <si>
    <t>PRIEM, GEORGE</t>
  </si>
  <si>
    <t>MAX</t>
  </si>
  <si>
    <t>WAGNER</t>
  </si>
  <si>
    <t>WAGNER, MAX</t>
  </si>
  <si>
    <t>ROBERT</t>
  </si>
  <si>
    <t>KONOPKA</t>
  </si>
  <si>
    <t>KONOPKA, ROBERT</t>
  </si>
  <si>
    <t>DON</t>
  </si>
  <si>
    <t>NICHOLS</t>
  </si>
  <si>
    <t>NICHOLS, DON</t>
  </si>
  <si>
    <t>HARLON</t>
  </si>
  <si>
    <t>HARVEY</t>
  </si>
  <si>
    <t>HARVEY, HARLON</t>
  </si>
  <si>
    <t>ERIC HENDRICKS</t>
  </si>
  <si>
    <t>MAX WAGNER</t>
  </si>
  <si>
    <t>LIESL TIDWELL</t>
  </si>
  <si>
    <t>MARK BAKER</t>
  </si>
  <si>
    <t>ROBERT CATALANO</t>
  </si>
  <si>
    <t>KAREN CHAMBERS</t>
  </si>
  <si>
    <t>JEFFREY EATON</t>
  </si>
  <si>
    <t>MARILYN FIER</t>
  </si>
  <si>
    <t>JACKIE FITZGERALD</t>
  </si>
  <si>
    <t>SHEILA HANSEN</t>
  </si>
  <si>
    <t>HARLON HARVEY</t>
  </si>
  <si>
    <t>ROBERT KONOPKA</t>
  </si>
  <si>
    <t>RYAN LONG</t>
  </si>
  <si>
    <t>MARK MORRIS</t>
  </si>
  <si>
    <t>DON NICHOLS</t>
  </si>
  <si>
    <t>DONNA O'BRIEN</t>
  </si>
  <si>
    <t>BARNEY PEREZ</t>
  </si>
  <si>
    <t>GEORGE PRIEM</t>
  </si>
  <si>
    <t>CATHY WATANUKI</t>
  </si>
  <si>
    <t>Name</t>
  </si>
  <si>
    <t>3G6G702</t>
  </si>
  <si>
    <t>3V6F140</t>
  </si>
  <si>
    <t>3G7R230</t>
  </si>
  <si>
    <t>6V4M198</t>
  </si>
  <si>
    <t>9F9H302</t>
  </si>
  <si>
    <t>5Y6D919</t>
  </si>
  <si>
    <t>2W7S145</t>
  </si>
  <si>
    <t>4I2W316</t>
  </si>
  <si>
    <t>8K0Y194</t>
  </si>
  <si>
    <t>3W5Y443</t>
  </si>
  <si>
    <t>5J6R662</t>
  </si>
  <si>
    <t>3A5Y444</t>
  </si>
  <si>
    <t>5C6R663</t>
  </si>
  <si>
    <t>3B5Y445</t>
  </si>
  <si>
    <t>Location</t>
  </si>
  <si>
    <t>BAKER,  MARK</t>
  </si>
  <si>
    <t>Hansen, Sheila</t>
  </si>
  <si>
    <t>Fier, Marilyn</t>
  </si>
  <si>
    <t>Macdonald, Mark</t>
  </si>
  <si>
    <t>Fitzgerald, Jackie</t>
  </si>
  <si>
    <t>Tidwell, Liesl</t>
  </si>
  <si>
    <t>Eaton, Jeffrey</t>
  </si>
  <si>
    <t>Chambers, Karen</t>
  </si>
  <si>
    <t>Perez, Barney</t>
  </si>
  <si>
    <t>Watanuki, Cathy</t>
  </si>
  <si>
    <t>Priem, George</t>
  </si>
  <si>
    <t>Wagner, Max</t>
  </si>
  <si>
    <t>Konopka, Robert</t>
  </si>
  <si>
    <t>Nichols, Don</t>
  </si>
  <si>
    <t>Harvey, Harlon</t>
  </si>
  <si>
    <t xml:space="preserve">   Watanuki, Cathy</t>
  </si>
  <si>
    <t>Catalano,      Robert</t>
  </si>
  <si>
    <t xml:space="preserve">Long, Ryan  </t>
  </si>
  <si>
    <t>Mark</t>
  </si>
  <si>
    <t>Sheila</t>
  </si>
  <si>
    <t>Hansen</t>
  </si>
  <si>
    <t>Marilyn</t>
  </si>
  <si>
    <t>Fier</t>
  </si>
  <si>
    <t>Morris</t>
  </si>
  <si>
    <t>Jussi</t>
  </si>
  <si>
    <t>Björling</t>
  </si>
  <si>
    <t>Ryan</t>
  </si>
  <si>
    <t>Long</t>
  </si>
  <si>
    <t>Jackie</t>
  </si>
  <si>
    <t>Fitzgerald</t>
  </si>
  <si>
    <t>Riccardo</t>
  </si>
  <si>
    <t>Muti</t>
  </si>
  <si>
    <t>Liesl</t>
  </si>
  <si>
    <t>Tidwell</t>
  </si>
  <si>
    <t>Jeffrey</t>
  </si>
  <si>
    <t>Eaton</t>
  </si>
  <si>
    <t>Karen</t>
  </si>
  <si>
    <t>Chambers</t>
  </si>
  <si>
    <t>Barney</t>
  </si>
  <si>
    <t>Perez</t>
  </si>
  <si>
    <t>Cathy</t>
  </si>
  <si>
    <t>Watanuki</t>
  </si>
  <si>
    <t>Max</t>
  </si>
  <si>
    <t>Wagner</t>
  </si>
  <si>
    <t>Robert</t>
  </si>
  <si>
    <t>Konopka</t>
  </si>
  <si>
    <t>Don</t>
  </si>
  <si>
    <t>Nichols</t>
  </si>
  <si>
    <t>Harlon</t>
  </si>
  <si>
    <t>Harvey</t>
  </si>
  <si>
    <t>Ventura, CA 93003</t>
  </si>
  <si>
    <t>Morris, Mark</t>
  </si>
  <si>
    <t>Björling, Jussi</t>
  </si>
  <si>
    <t>Muti, Riccardo</t>
  </si>
  <si>
    <t>S</t>
  </si>
  <si>
    <t>F</t>
  </si>
  <si>
    <t>H</t>
  </si>
  <si>
    <t>B</t>
  </si>
  <si>
    <t>N</t>
  </si>
  <si>
    <t>E</t>
  </si>
  <si>
    <t>W</t>
  </si>
  <si>
    <t>MI</t>
  </si>
  <si>
    <t>Substitute XXX for second dash</t>
  </si>
  <si>
    <t>6V4g198</t>
  </si>
  <si>
    <t xml:space="preserve">  Harvey, Harlon</t>
  </si>
  <si>
    <t>Baker, Mark S</t>
  </si>
  <si>
    <t>Fier, Marilyn F</t>
  </si>
  <si>
    <t>Long, Ryan H</t>
  </si>
  <si>
    <t>Fitzgerald, Jackie B</t>
  </si>
  <si>
    <t>Eaton, Jeffrey N</t>
  </si>
  <si>
    <t>Perez, Barney E</t>
  </si>
  <si>
    <t>HANSEN, SHEILA ANN</t>
  </si>
  <si>
    <t>Replace 8th character with USA</t>
  </si>
  <si>
    <t>MORGAN-JONES, ERIC</t>
  </si>
  <si>
    <t>Substitute - remove all dashes</t>
  </si>
  <si>
    <t>Substitute - remove only the first dash</t>
  </si>
  <si>
    <t>Substitute - replace all dashes with underscore</t>
  </si>
  <si>
    <t>Replace 5th character with X</t>
  </si>
  <si>
    <t xml:space="preserve">Lopez, Maria </t>
  </si>
  <si>
    <t>KENTON, OH 43326</t>
  </si>
  <si>
    <t>BARDSTOWN, KY 40004</t>
  </si>
  <si>
    <t>ARVADA, CO 80002</t>
  </si>
  <si>
    <t>WHEAT RIDGE, CO 80033</t>
  </si>
  <si>
    <t>VENTURA, CA 93003</t>
  </si>
  <si>
    <t>PUEBLO, CO 81008</t>
  </si>
  <si>
    <t>WESTMINSTER, CO 80234</t>
  </si>
  <si>
    <t>CINCINNATI, OH 45220</t>
  </si>
  <si>
    <t>WALNUT CREEK, CA 94596</t>
  </si>
  <si>
    <t>AURORA, CO 80014</t>
  </si>
  <si>
    <t>SAN FRANCISCO, CA 94111</t>
  </si>
  <si>
    <r>
      <rPr>
        <b/>
        <sz val="14"/>
        <color theme="1"/>
        <rFont val="Calibri"/>
        <family val="2"/>
        <scheme val="minor"/>
      </rPr>
      <t>SUBSTITUTE</t>
    </r>
    <r>
      <rPr>
        <b/>
        <sz val="11"/>
        <color theme="1"/>
        <rFont val="Calibri"/>
        <family val="2"/>
        <scheme val="minor"/>
      </rPr>
      <t xml:space="preserve"> - Based on Content</t>
    </r>
  </si>
  <si>
    <r>
      <rPr>
        <b/>
        <sz val="14"/>
        <color theme="1"/>
        <rFont val="Calibri"/>
        <family val="2"/>
        <scheme val="minor"/>
      </rPr>
      <t>REPLACE</t>
    </r>
    <r>
      <rPr>
        <b/>
        <sz val="11"/>
        <color theme="1"/>
        <rFont val="Calibri"/>
        <family val="2"/>
        <scheme val="minor"/>
      </rPr>
      <t xml:space="preserve"> - Based on Position</t>
    </r>
  </si>
  <si>
    <t>2W7Sg45</t>
  </si>
  <si>
    <t>3A5Y4g4</t>
  </si>
  <si>
    <t>FRISCO, CO 80222</t>
  </si>
  <si>
    <t>Wagner, Max H</t>
  </si>
  <si>
    <t>Nichols, Don W</t>
  </si>
  <si>
    <t>Treigle</t>
  </si>
  <si>
    <t>Norman</t>
  </si>
  <si>
    <t>Treigle, Norman</t>
  </si>
  <si>
    <t>TREIGLE, NORMAN</t>
  </si>
  <si>
    <t>NORMAN</t>
  </si>
  <si>
    <t>TREIGLE</t>
  </si>
  <si>
    <t>MACDONALD</t>
  </si>
  <si>
    <t>TRENT-JONES</t>
  </si>
  <si>
    <t>MARY</t>
  </si>
  <si>
    <t>O'BRIEN</t>
  </si>
  <si>
    <t>O'Brien, Mark</t>
  </si>
  <si>
    <t>Todd-Jones, Mary</t>
  </si>
  <si>
    <t>2688S6</t>
  </si>
  <si>
    <t>139V04</t>
  </si>
  <si>
    <t>S48564</t>
  </si>
  <si>
    <t>369G867</t>
  </si>
  <si>
    <t>408L396</t>
  </si>
  <si>
    <t>3293M51</t>
  </si>
  <si>
    <t xml:space="preserve">Baker,    Mark </t>
  </si>
  <si>
    <t xml:space="preserve"> Björling, Jussi</t>
  </si>
  <si>
    <t>Fier,     Marilyn</t>
  </si>
  <si>
    <t xml:space="preserve">     Fox,    Ed</t>
  </si>
  <si>
    <t>MAC DONALD, MARK</t>
  </si>
  <si>
    <t>O'BRIEN, ED</t>
  </si>
  <si>
    <t>FOX, MARY</t>
  </si>
  <si>
    <t>9c0k904</t>
  </si>
  <si>
    <t>3v6f140</t>
  </si>
  <si>
    <t>6v4m198</t>
  </si>
  <si>
    <t>5y6d919</t>
  </si>
  <si>
    <t>2w7s145</t>
  </si>
  <si>
    <t>4i2w316</t>
  </si>
  <si>
    <t>8k0y194</t>
  </si>
  <si>
    <t>5j6r662</t>
  </si>
  <si>
    <t>3a5y444</t>
  </si>
  <si>
    <t>5c6r663</t>
  </si>
  <si>
    <t>3b5y445</t>
  </si>
  <si>
    <t>5i6r664</t>
  </si>
  <si>
    <t>3j5y446</t>
  </si>
  <si>
    <t>5t6r665</t>
  </si>
  <si>
    <t>3u5y447</t>
  </si>
  <si>
    <t>5y6r666</t>
  </si>
  <si>
    <t>3x5y448</t>
  </si>
  <si>
    <t>3g6G702</t>
  </si>
  <si>
    <t>3G7r230</t>
  </si>
  <si>
    <t>9F9h302</t>
  </si>
  <si>
    <t>3W5M443</t>
  </si>
  <si>
    <t>5474-QE-76</t>
  </si>
  <si>
    <t>2675-ED-24</t>
  </si>
  <si>
    <t>5477-FG-41</t>
  </si>
  <si>
    <t>544-QE-76</t>
  </si>
  <si>
    <t>25-ED-24</t>
  </si>
  <si>
    <t>6024-KN-27</t>
  </si>
  <si>
    <t>7-DJ-54-AB</t>
  </si>
  <si>
    <t>4457-SX-24</t>
  </si>
  <si>
    <t>25-ED-2-4</t>
  </si>
  <si>
    <t>1267-DJ-54</t>
  </si>
  <si>
    <t>74140-WQ-28</t>
  </si>
  <si>
    <t>7410-WQ-28</t>
  </si>
  <si>
    <t>784-QH-87</t>
  </si>
  <si>
    <t>7784-QH-87</t>
  </si>
  <si>
    <t xml:space="preserve">Fitzgerald, Jackie    </t>
  </si>
  <si>
    <t>UPPER</t>
  </si>
  <si>
    <t>LOWER</t>
  </si>
  <si>
    <t>PROPER</t>
  </si>
  <si>
    <t>CONCATENATE</t>
  </si>
  <si>
    <t xml:space="preserve">Baker </t>
  </si>
  <si>
    <t>LEFT</t>
  </si>
  <si>
    <t>RIGHT</t>
  </si>
  <si>
    <t>find</t>
  </si>
  <si>
    <t>mid</t>
  </si>
  <si>
    <t>search</t>
  </si>
  <si>
    <t>FIRST NAME</t>
  </si>
  <si>
    <t>LAST NAME</t>
  </si>
  <si>
    <t>TRIM</t>
  </si>
  <si>
    <t xml:space="preserve">Mark S Baker </t>
  </si>
  <si>
    <t>Sheila  Hansen</t>
  </si>
  <si>
    <t>Norman  Treigle</t>
  </si>
  <si>
    <t>Marilyn F Fier</t>
  </si>
  <si>
    <t>Mark  Morris</t>
  </si>
  <si>
    <t>Jussi  Björling</t>
  </si>
  <si>
    <t>Ryan H Long</t>
  </si>
  <si>
    <t>Jackie B Fitzgerald</t>
  </si>
  <si>
    <t>Riccardo  Muti</t>
  </si>
  <si>
    <t>Liesl  Tidwell</t>
  </si>
  <si>
    <t>Jeffrey N Eaton</t>
  </si>
  <si>
    <t>Karen  Chambers</t>
  </si>
  <si>
    <t>Barney E Perez</t>
  </si>
  <si>
    <t>Cathy  Watanuki</t>
  </si>
  <si>
    <t>Max H Wagner</t>
  </si>
  <si>
    <t>Robert  Konopka</t>
  </si>
  <si>
    <t>Don W Nichols</t>
  </si>
  <si>
    <t>Harlon  Harvey</t>
  </si>
  <si>
    <t>values</t>
  </si>
  <si>
    <t>sum</t>
  </si>
  <si>
    <t>90,80,79,60</t>
  </si>
  <si>
    <t>89,90,45,67</t>
  </si>
  <si>
    <t>49,79,54,54</t>
  </si>
  <si>
    <t>34,89,70,70</t>
  </si>
  <si>
    <t>98,78,67,13</t>
  </si>
  <si>
    <t>46,78,94,39</t>
  </si>
  <si>
    <t>54,65,43,90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</si>
</sst>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0" fontId="6" fillId="2" borderId="1"/>
    <xf numFmtId="0" fontId="7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4" fillId="0" borderId="0" xfId="0" applyFont="1"/>
    <xf numFmtId="0" fontId="9" fillId="0" borderId="0" xfId="1" applyFont="1"/>
    <xf numFmtId="0" fontId="10" fillId="0" borderId="0" xfId="1" applyFont="1"/>
    <xf numFmtId="0" fontId="10" fillId="0" borderId="0" xfId="1" applyFont="1" applyAlignment="1">
      <alignment vertical="top"/>
    </xf>
    <xf numFmtId="0" fontId="10" fillId="0" borderId="0" xfId="1" applyFont="1" applyAlignment="1">
      <alignment horizontal="left"/>
    </xf>
    <xf numFmtId="0" fontId="11" fillId="0" borderId="0" xfId="1" applyFont="1"/>
    <xf numFmtId="0" fontId="10" fillId="0" borderId="0" xfId="1" quotePrefix="1" applyFont="1"/>
    <xf numFmtId="0" fontId="8" fillId="4" borderId="2" xfId="0" applyFont="1" applyFill="1" applyBorder="1"/>
    <xf numFmtId="0" fontId="4" fillId="4" borderId="2" xfId="0" applyFont="1" applyFill="1" applyBorder="1"/>
    <xf numFmtId="0" fontId="8" fillId="3" borderId="2" xfId="0" applyFont="1" applyFill="1" applyBorder="1"/>
    <xf numFmtId="0" fontId="4" fillId="3" borderId="2" xfId="0" applyFont="1" applyFill="1" applyBorder="1"/>
    <xf numFmtId="0" fontId="3" fillId="4" borderId="2" xfId="0" applyFont="1" applyFill="1" applyBorder="1"/>
    <xf numFmtId="0" fontId="9" fillId="0" borderId="0" xfId="1" applyFont="1" applyAlignment="1">
      <alignment horizontal="left"/>
    </xf>
    <xf numFmtId="0" fontId="1" fillId="4" borderId="2" xfId="0" applyFont="1" applyFill="1" applyBorder="1"/>
    <xf numFmtId="0" fontId="10" fillId="5" borderId="0" xfId="1" applyFont="1" applyFill="1"/>
    <xf numFmtId="0" fontId="9" fillId="5" borderId="0" xfId="1" applyFont="1" applyFill="1"/>
    <xf numFmtId="0" fontId="14" fillId="6" borderId="3" xfId="1" applyFont="1" applyFill="1" applyBorder="1"/>
    <xf numFmtId="0" fontId="0" fillId="5" borderId="0" xfId="0" applyFill="1"/>
    <xf numFmtId="0" fontId="15" fillId="5" borderId="0" xfId="1" applyFont="1" applyFill="1"/>
    <xf numFmtId="0" fontId="16" fillId="5" borderId="0" xfId="1" applyFont="1" applyFill="1" applyAlignment="1">
      <alignment horizontal="center"/>
    </xf>
    <xf numFmtId="0" fontId="9" fillId="5" borderId="0" xfId="1" applyFont="1" applyFill="1" applyAlignment="1">
      <alignment horizontal="center" vertical="center"/>
    </xf>
  </cellXfs>
  <cellStyles count="8">
    <cellStyle name="Comma 4" xfId="6" xr:uid="{00000000-0005-0000-0000-000000000000}"/>
    <cellStyle name="MyBlue" xfId="2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Normal 3 2" xfId="4" xr:uid="{00000000-0005-0000-0000-000005000000}"/>
    <cellStyle name="Normal 5" xfId="5" xr:uid="{00000000-0005-0000-0000-000006000000}"/>
    <cellStyle name="Percent 2" xfId="7" xr:uid="{00000000-0005-0000-0000-000007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CCFFCC"/>
      <color rgb="FF99FF99"/>
      <color rgb="FF00FF00"/>
      <color rgb="FF66CC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1"/>
  </sheetPr>
  <dimension ref="A1:E16"/>
  <sheetViews>
    <sheetView zoomScale="145" zoomScaleNormal="145" workbookViewId="0">
      <selection activeCell="B18" sqref="B18"/>
    </sheetView>
  </sheetViews>
  <sheetFormatPr defaultColWidth="9.109375" defaultRowHeight="14.4" x14ac:dyDescent="0.3"/>
  <cols>
    <col min="1" max="1" width="8.21875" style="3" bestFit="1" customWidth="1"/>
    <col min="2" max="3" width="19.44140625" style="3" customWidth="1"/>
    <col min="4" max="4" width="25" style="3" bestFit="1" customWidth="1"/>
    <col min="5" max="5" width="15.109375" style="3" customWidth="1"/>
    <col min="6" max="6" width="20.88671875" style="3" customWidth="1"/>
    <col min="7" max="16384" width="9.109375" style="3"/>
  </cols>
  <sheetData>
    <row r="1" spans="1:5" ht="18" x14ac:dyDescent="0.35">
      <c r="A1" s="2" t="s">
        <v>3</v>
      </c>
      <c r="B1" s="19" t="s">
        <v>259</v>
      </c>
      <c r="C1" s="19" t="s">
        <v>258</v>
      </c>
      <c r="D1" s="2" t="s">
        <v>92</v>
      </c>
      <c r="E1" s="19" t="s">
        <v>260</v>
      </c>
    </row>
    <row r="2" spans="1:5" x14ac:dyDescent="0.3">
      <c r="A2" s="3" t="s">
        <v>7</v>
      </c>
      <c r="B2" s="3" t="str">
        <f>MID(A2,2,4)</f>
        <v>C0K9</v>
      </c>
      <c r="C2" s="3">
        <f>FIND("C",A2)</f>
        <v>2</v>
      </c>
      <c r="D2" s="4" t="s">
        <v>187</v>
      </c>
      <c r="E2" s="3">
        <f>SEARCH("f",D2)</f>
        <v>1</v>
      </c>
    </row>
    <row r="3" spans="1:5" x14ac:dyDescent="0.3">
      <c r="A3" s="3" t="s">
        <v>78</v>
      </c>
      <c r="B3" s="3" t="str">
        <f t="shared" ref="B3:B16" si="0">MID(A3,2,4)</f>
        <v>G6G7</v>
      </c>
      <c r="C3" s="3">
        <f>FIND("G",A3,3)</f>
        <v>4</v>
      </c>
      <c r="D3" s="4" t="s">
        <v>172</v>
      </c>
      <c r="E3" s="3">
        <f>SEARCH("n",D3)</f>
        <v>3</v>
      </c>
    </row>
    <row r="4" spans="1:5" x14ac:dyDescent="0.3">
      <c r="A4" s="3" t="s">
        <v>79</v>
      </c>
      <c r="B4" s="3" t="str">
        <f>MID(A4,3,4)</f>
        <v>6F14</v>
      </c>
      <c r="C4" s="3">
        <f>FIND("V",A4)</f>
        <v>2</v>
      </c>
      <c r="D4" s="4" t="s">
        <v>173</v>
      </c>
      <c r="E4" s="3">
        <f>SEARCH("a",D7)</f>
        <v>7</v>
      </c>
    </row>
    <row r="5" spans="1:5" x14ac:dyDescent="0.3">
      <c r="A5" s="3" t="s">
        <v>80</v>
      </c>
      <c r="B5" s="3" t="str">
        <f t="shared" si="0"/>
        <v>G7R2</v>
      </c>
      <c r="C5" s="3">
        <f>FIND(3,A5,4)</f>
        <v>6</v>
      </c>
      <c r="D5" s="4" t="s">
        <v>174</v>
      </c>
    </row>
    <row r="6" spans="1:5" x14ac:dyDescent="0.3">
      <c r="A6" s="3" t="s">
        <v>156</v>
      </c>
      <c r="B6" s="3" t="str">
        <f t="shared" si="0"/>
        <v>V4g1</v>
      </c>
      <c r="C6" s="3">
        <f t="shared" ref="C6" si="1">FIND("V",A6)</f>
        <v>2</v>
      </c>
      <c r="D6" s="4" t="s">
        <v>175</v>
      </c>
    </row>
    <row r="7" spans="1:5" x14ac:dyDescent="0.3">
      <c r="A7" s="3" t="s">
        <v>82</v>
      </c>
      <c r="B7" s="3" t="str">
        <f t="shared" si="0"/>
        <v>F9H3</v>
      </c>
      <c r="D7" s="3" t="s">
        <v>176</v>
      </c>
    </row>
    <row r="8" spans="1:5" x14ac:dyDescent="0.3">
      <c r="A8" s="3" t="s">
        <v>83</v>
      </c>
      <c r="B8" s="3" t="str">
        <f t="shared" si="0"/>
        <v>Y6D9</v>
      </c>
      <c r="D8" s="4" t="s">
        <v>177</v>
      </c>
    </row>
    <row r="9" spans="1:5" x14ac:dyDescent="0.3">
      <c r="A9" s="3" t="s">
        <v>185</v>
      </c>
      <c r="B9" s="3" t="str">
        <f t="shared" si="0"/>
        <v>W7Sg</v>
      </c>
      <c r="D9" s="4" t="s">
        <v>178</v>
      </c>
    </row>
    <row r="10" spans="1:5" x14ac:dyDescent="0.3">
      <c r="A10" s="3" t="s">
        <v>85</v>
      </c>
      <c r="B10" s="3" t="str">
        <f t="shared" si="0"/>
        <v>I2W3</v>
      </c>
      <c r="D10" s="4" t="s">
        <v>179</v>
      </c>
    </row>
    <row r="11" spans="1:5" x14ac:dyDescent="0.3">
      <c r="A11" s="3" t="s">
        <v>86</v>
      </c>
      <c r="B11" s="3" t="str">
        <f t="shared" si="0"/>
        <v>K0Y1</v>
      </c>
      <c r="D11" s="4" t="s">
        <v>180</v>
      </c>
    </row>
    <row r="12" spans="1:5" x14ac:dyDescent="0.3">
      <c r="A12" s="3" t="s">
        <v>87</v>
      </c>
      <c r="B12" s="3" t="str">
        <f t="shared" si="0"/>
        <v>W5Y4</v>
      </c>
      <c r="D12" s="4" t="s">
        <v>174</v>
      </c>
    </row>
    <row r="13" spans="1:5" x14ac:dyDescent="0.3">
      <c r="A13" s="3" t="s">
        <v>88</v>
      </c>
      <c r="B13" s="3" t="str">
        <f t="shared" si="0"/>
        <v>J6R6</v>
      </c>
      <c r="D13" s="4" t="s">
        <v>182</v>
      </c>
    </row>
    <row r="14" spans="1:5" x14ac:dyDescent="0.3">
      <c r="A14" s="3" t="s">
        <v>186</v>
      </c>
      <c r="B14" s="3" t="str">
        <f t="shared" si="0"/>
        <v>A5Y4</v>
      </c>
      <c r="D14" s="4" t="s">
        <v>181</v>
      </c>
    </row>
    <row r="15" spans="1:5" x14ac:dyDescent="0.3">
      <c r="A15" s="3" t="s">
        <v>90</v>
      </c>
      <c r="B15" s="3" t="str">
        <f t="shared" si="0"/>
        <v>C6R6</v>
      </c>
    </row>
    <row r="16" spans="1:5" x14ac:dyDescent="0.3">
      <c r="A16" s="3" t="s">
        <v>91</v>
      </c>
      <c r="B16" s="3" t="str">
        <f t="shared" si="0"/>
        <v>B5Y4</v>
      </c>
    </row>
  </sheetData>
  <autoFilter ref="D1:D14" xr:uid="{00000000-0009-0000-0000-000000000000}"/>
  <conditionalFormatting sqref="D1:D1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FFFF00"/>
  </sheetPr>
  <dimension ref="A1:G22"/>
  <sheetViews>
    <sheetView zoomScale="145" zoomScaleNormal="145" workbookViewId="0">
      <selection activeCell="B3" sqref="B3"/>
    </sheetView>
  </sheetViews>
  <sheetFormatPr defaultColWidth="9.109375" defaultRowHeight="14.4" x14ac:dyDescent="0.3"/>
  <cols>
    <col min="1" max="1" width="22.21875" style="3" bestFit="1" customWidth="1"/>
    <col min="2" max="2" width="22.21875" style="3" customWidth="1"/>
    <col min="3" max="3" width="9.109375" style="5" customWidth="1"/>
    <col min="4" max="4" width="17.5546875" customWidth="1"/>
    <col min="5" max="5" width="15.88671875" style="3" bestFit="1" customWidth="1"/>
    <col min="6" max="6" width="18.5546875" style="3" customWidth="1"/>
    <col min="7" max="7" width="11.6640625" style="3" customWidth="1"/>
    <col min="8" max="8" width="18.5546875" style="3" customWidth="1"/>
    <col min="9" max="16384" width="9.109375" style="3"/>
  </cols>
  <sheetData>
    <row r="1" spans="1:7" x14ac:dyDescent="0.3">
      <c r="A1" s="2" t="s">
        <v>92</v>
      </c>
      <c r="B1" s="16" t="s">
        <v>256</v>
      </c>
      <c r="C1" s="13" t="s">
        <v>3</v>
      </c>
      <c r="D1" s="18" t="s">
        <v>257</v>
      </c>
      <c r="E1" s="2" t="s">
        <v>77</v>
      </c>
      <c r="F1" s="15" t="s">
        <v>261</v>
      </c>
      <c r="G1" s="15" t="s">
        <v>262</v>
      </c>
    </row>
    <row r="2" spans="1:7" x14ac:dyDescent="0.3">
      <c r="A2" s="4" t="s">
        <v>8</v>
      </c>
      <c r="B2" s="4" t="str">
        <f>LEFT(A2,6)</f>
        <v>Boulde</v>
      </c>
      <c r="C2" s="5" t="s">
        <v>7</v>
      </c>
      <c r="D2" t="str">
        <f>RIGHT(C2,4)</f>
        <v>K904</v>
      </c>
      <c r="E2" s="3" t="s">
        <v>200</v>
      </c>
      <c r="F2" s="3" t="str">
        <f>LEFT(E2,7)</f>
        <v>O'Brien</v>
      </c>
      <c r="G2" s="3" t="str">
        <f>RIGHT(E2,5)</f>
        <v xml:space="preserve"> Mark</v>
      </c>
    </row>
    <row r="3" spans="1:7" x14ac:dyDescent="0.3">
      <c r="A3" s="4" t="s">
        <v>11</v>
      </c>
      <c r="B3" s="4" t="str">
        <f>LEFT(A3,5)</f>
        <v>Kento</v>
      </c>
      <c r="C3" s="5" t="s">
        <v>78</v>
      </c>
      <c r="D3" t="str">
        <f t="shared" ref="D3:D22" si="0">RIGHT(C3,3)</f>
        <v>702</v>
      </c>
      <c r="E3" s="3" t="s">
        <v>94</v>
      </c>
      <c r="F3" s="3" t="str">
        <f>LEFT(E3,6)</f>
        <v>Hansen</v>
      </c>
      <c r="G3" s="3" t="str">
        <f>RIGHT(E3,6)</f>
        <v>Sheila</v>
      </c>
    </row>
    <row r="4" spans="1:7" x14ac:dyDescent="0.3">
      <c r="A4" s="4" t="s">
        <v>14</v>
      </c>
      <c r="B4" s="4"/>
      <c r="C4" s="5" t="s">
        <v>79</v>
      </c>
      <c r="D4" t="str">
        <f t="shared" si="0"/>
        <v>140</v>
      </c>
      <c r="E4" s="3" t="s">
        <v>95</v>
      </c>
      <c r="F4" s="3" t="str">
        <f>LEFT(E4,4)</f>
        <v>Fier</v>
      </c>
      <c r="G4" s="3" t="str">
        <f t="shared" ref="G4:G22" si="1">RIGHT(E4,5)</f>
        <v>rilyn</v>
      </c>
    </row>
    <row r="5" spans="1:7" x14ac:dyDescent="0.3">
      <c r="A5" s="4" t="s">
        <v>16</v>
      </c>
      <c r="B5" s="4"/>
      <c r="C5" s="5" t="s">
        <v>80</v>
      </c>
      <c r="D5" t="str">
        <f t="shared" si="0"/>
        <v>230</v>
      </c>
      <c r="E5" s="3" t="s">
        <v>144</v>
      </c>
      <c r="F5" s="3" t="str">
        <f>LEFT(E5,6)</f>
        <v>Morris</v>
      </c>
      <c r="G5" s="3" t="str">
        <f t="shared" si="1"/>
        <v xml:space="preserve"> Mark</v>
      </c>
    </row>
    <row r="6" spans="1:7" x14ac:dyDescent="0.3">
      <c r="A6" s="4" t="s">
        <v>20</v>
      </c>
      <c r="B6" s="4"/>
      <c r="C6" s="5" t="s">
        <v>81</v>
      </c>
      <c r="D6" t="str">
        <f t="shared" si="0"/>
        <v>198</v>
      </c>
      <c r="E6" s="3" t="s">
        <v>145</v>
      </c>
      <c r="F6" s="3" t="str">
        <f>LEFT(E6,8)</f>
        <v>Björling</v>
      </c>
      <c r="G6" s="3" t="str">
        <f t="shared" si="1"/>
        <v>Jussi</v>
      </c>
    </row>
    <row r="7" spans="1:7" x14ac:dyDescent="0.3">
      <c r="A7" s="3" t="s">
        <v>143</v>
      </c>
      <c r="B7" s="4"/>
      <c r="C7" s="5" t="s">
        <v>82</v>
      </c>
      <c r="D7" t="str">
        <f t="shared" si="0"/>
        <v>302</v>
      </c>
      <c r="E7" s="3" t="s">
        <v>201</v>
      </c>
      <c r="F7" s="3" t="str">
        <f>LEFT(E7,4)</f>
        <v>Todd</v>
      </c>
      <c r="G7" s="3" t="str">
        <f t="shared" si="1"/>
        <v xml:space="preserve"> Mary</v>
      </c>
    </row>
    <row r="8" spans="1:7" x14ac:dyDescent="0.3">
      <c r="A8" s="4" t="s">
        <v>21</v>
      </c>
      <c r="B8" s="4"/>
      <c r="C8" s="5" t="s">
        <v>83</v>
      </c>
      <c r="D8" t="str">
        <f t="shared" si="0"/>
        <v>919</v>
      </c>
      <c r="E8" s="3" t="s">
        <v>97</v>
      </c>
      <c r="F8" s="3" t="str">
        <f>LEFT(E8,10)</f>
        <v>Fitzgerald</v>
      </c>
      <c r="G8" s="3" t="str">
        <f>RIGHT(E8,6)</f>
        <v>Jackie</v>
      </c>
    </row>
    <row r="9" spans="1:7" x14ac:dyDescent="0.3">
      <c r="A9" s="4" t="s">
        <v>23</v>
      </c>
      <c r="B9" s="4"/>
      <c r="C9" s="5" t="s">
        <v>84</v>
      </c>
      <c r="D9" t="str">
        <f t="shared" si="0"/>
        <v>145</v>
      </c>
      <c r="E9" s="3" t="s">
        <v>146</v>
      </c>
      <c r="F9" s="3" t="str">
        <f>LEFT(E9,4)</f>
        <v>Muti</v>
      </c>
      <c r="G9" s="3" t="str">
        <f>RIGHT(E9,8)</f>
        <v>Riccardo</v>
      </c>
    </row>
    <row r="10" spans="1:7" x14ac:dyDescent="0.3">
      <c r="A10" s="4" t="s">
        <v>26</v>
      </c>
      <c r="B10" s="4"/>
      <c r="C10" s="5" t="s">
        <v>85</v>
      </c>
      <c r="D10" t="str">
        <f t="shared" si="0"/>
        <v>316</v>
      </c>
      <c r="E10" s="3" t="s">
        <v>98</v>
      </c>
      <c r="F10" s="3" t="str">
        <f t="shared" ref="F10" si="2">LEFT(E10,7)</f>
        <v>Tidwell</v>
      </c>
      <c r="G10" s="3" t="str">
        <f>RIGHT(E10,5)</f>
        <v>Liesl</v>
      </c>
    </row>
    <row r="11" spans="1:7" x14ac:dyDescent="0.3">
      <c r="A11" s="4" t="s">
        <v>30</v>
      </c>
      <c r="B11" s="4"/>
      <c r="C11" s="5" t="s">
        <v>86</v>
      </c>
      <c r="D11" t="str">
        <f t="shared" si="0"/>
        <v>194</v>
      </c>
      <c r="E11" s="3" t="s">
        <v>99</v>
      </c>
      <c r="F11" s="3" t="str">
        <f>LEFT(E11,6)</f>
        <v>Eaton,</v>
      </c>
      <c r="G11" s="3" t="str">
        <f>RIGHT(E11,7)</f>
        <v>Jeffrey</v>
      </c>
    </row>
    <row r="12" spans="1:7" x14ac:dyDescent="0.3">
      <c r="A12" s="4" t="s">
        <v>16</v>
      </c>
      <c r="B12" s="4"/>
      <c r="C12" s="5" t="s">
        <v>87</v>
      </c>
      <c r="D12" t="str">
        <f t="shared" si="0"/>
        <v>443</v>
      </c>
      <c r="E12" s="3" t="s">
        <v>100</v>
      </c>
      <c r="F12" s="3" t="str">
        <f>LEFT(E12,8)</f>
        <v>Chambers</v>
      </c>
      <c r="G12" s="3" t="str">
        <f t="shared" si="1"/>
        <v>Karen</v>
      </c>
    </row>
    <row r="13" spans="1:7" x14ac:dyDescent="0.3">
      <c r="A13" s="4" t="s">
        <v>37</v>
      </c>
      <c r="B13" s="4"/>
      <c r="C13" s="5" t="s">
        <v>88</v>
      </c>
      <c r="D13" t="str">
        <f t="shared" si="0"/>
        <v>662</v>
      </c>
      <c r="E13" s="3" t="s">
        <v>101</v>
      </c>
      <c r="F13" s="3" t="str">
        <f>LEFT(E13,6)</f>
        <v>Perez,</v>
      </c>
      <c r="G13" s="3" t="str">
        <f>RIGHT(E13,6)</f>
        <v>Barney</v>
      </c>
    </row>
    <row r="14" spans="1:7" x14ac:dyDescent="0.3">
      <c r="A14" s="4" t="s">
        <v>39</v>
      </c>
      <c r="B14" s="4"/>
      <c r="C14" s="5" t="s">
        <v>89</v>
      </c>
      <c r="D14" t="str">
        <f t="shared" si="0"/>
        <v>444</v>
      </c>
      <c r="E14" s="3" t="s">
        <v>102</v>
      </c>
      <c r="F14" s="3" t="str">
        <f>LEFT(E14,8)</f>
        <v>Watanuki</v>
      </c>
      <c r="G14" s="3" t="str">
        <f t="shared" si="1"/>
        <v>Cathy</v>
      </c>
    </row>
    <row r="15" spans="1:7" x14ac:dyDescent="0.3">
      <c r="B15" s="4" t="str">
        <f t="shared" ref="B15:B22" si="3">LEFT(A15,5)</f>
        <v/>
      </c>
      <c r="C15" s="5" t="s">
        <v>202</v>
      </c>
      <c r="D15" t="str">
        <f t="shared" si="0"/>
        <v>8S6</v>
      </c>
      <c r="F15" s="3" t="str">
        <f t="shared" ref="F15:F22" si="4">LEFT(E15,5)</f>
        <v/>
      </c>
      <c r="G15" s="3" t="str">
        <f t="shared" si="1"/>
        <v/>
      </c>
    </row>
    <row r="16" spans="1:7" x14ac:dyDescent="0.3">
      <c r="B16" s="4" t="str">
        <f t="shared" si="3"/>
        <v/>
      </c>
      <c r="C16" s="5">
        <v>267427</v>
      </c>
      <c r="D16" t="str">
        <f t="shared" si="0"/>
        <v>427</v>
      </c>
      <c r="F16" s="3" t="str">
        <f t="shared" si="4"/>
        <v/>
      </c>
      <c r="G16" s="3" t="str">
        <f t="shared" si="1"/>
        <v/>
      </c>
    </row>
    <row r="17" spans="2:7" x14ac:dyDescent="0.3">
      <c r="B17" s="4" t="str">
        <f t="shared" si="3"/>
        <v/>
      </c>
      <c r="C17" s="5" t="s">
        <v>203</v>
      </c>
      <c r="D17" t="str">
        <f t="shared" si="0"/>
        <v>V04</v>
      </c>
      <c r="F17" s="3" t="str">
        <f t="shared" si="4"/>
        <v/>
      </c>
      <c r="G17" s="3" t="str">
        <f t="shared" si="1"/>
        <v/>
      </c>
    </row>
    <row r="18" spans="2:7" x14ac:dyDescent="0.3">
      <c r="B18" s="4" t="str">
        <f t="shared" si="3"/>
        <v/>
      </c>
      <c r="C18" s="5" t="s">
        <v>204</v>
      </c>
      <c r="D18" t="str">
        <f t="shared" si="0"/>
        <v>564</v>
      </c>
      <c r="F18" s="3" t="str">
        <f t="shared" si="4"/>
        <v/>
      </c>
      <c r="G18" s="3" t="str">
        <f t="shared" si="1"/>
        <v/>
      </c>
    </row>
    <row r="19" spans="2:7" x14ac:dyDescent="0.3">
      <c r="B19" s="4" t="str">
        <f t="shared" si="3"/>
        <v/>
      </c>
      <c r="C19" s="5" t="s">
        <v>205</v>
      </c>
      <c r="D19" t="str">
        <f t="shared" si="0"/>
        <v>867</v>
      </c>
      <c r="F19" s="3" t="str">
        <f t="shared" si="4"/>
        <v/>
      </c>
      <c r="G19" s="3" t="str">
        <f t="shared" si="1"/>
        <v/>
      </c>
    </row>
    <row r="20" spans="2:7" x14ac:dyDescent="0.3">
      <c r="B20" s="4" t="str">
        <f t="shared" si="3"/>
        <v/>
      </c>
      <c r="C20" s="5">
        <v>307926</v>
      </c>
      <c r="D20" t="str">
        <f t="shared" si="0"/>
        <v>926</v>
      </c>
      <c r="F20" s="3" t="str">
        <f t="shared" si="4"/>
        <v/>
      </c>
      <c r="G20" s="3" t="str">
        <f t="shared" si="1"/>
        <v/>
      </c>
    </row>
    <row r="21" spans="2:7" x14ac:dyDescent="0.3">
      <c r="B21" s="4" t="str">
        <f t="shared" si="3"/>
        <v/>
      </c>
      <c r="C21" s="5" t="s">
        <v>206</v>
      </c>
      <c r="D21" t="str">
        <f t="shared" si="0"/>
        <v>396</v>
      </c>
      <c r="F21" s="3" t="str">
        <f t="shared" si="4"/>
        <v/>
      </c>
      <c r="G21" s="3" t="str">
        <f t="shared" si="1"/>
        <v/>
      </c>
    </row>
    <row r="22" spans="2:7" x14ac:dyDescent="0.3">
      <c r="B22" s="4" t="str">
        <f t="shared" si="3"/>
        <v/>
      </c>
      <c r="C22" s="5" t="s">
        <v>207</v>
      </c>
      <c r="D22" t="str">
        <f t="shared" si="0"/>
        <v>M51</v>
      </c>
      <c r="F22" s="3" t="str">
        <f t="shared" si="4"/>
        <v/>
      </c>
      <c r="G22" s="3" t="str">
        <f t="shared" si="1"/>
        <v/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66CCFF"/>
  </sheetPr>
  <dimension ref="A1:G21"/>
  <sheetViews>
    <sheetView zoomScale="124" zoomScaleNormal="160" workbookViewId="0">
      <selection activeCell="A12" sqref="A12"/>
    </sheetView>
  </sheetViews>
  <sheetFormatPr defaultColWidth="9.109375" defaultRowHeight="14.4" x14ac:dyDescent="0.3"/>
  <cols>
    <col min="1" max="1" width="20" style="3" bestFit="1" customWidth="1"/>
    <col min="2" max="2" width="21.88671875" style="3" customWidth="1"/>
    <col min="3" max="3" width="25.21875" style="3" customWidth="1"/>
    <col min="4" max="4" width="15.88671875" style="3" customWidth="1"/>
    <col min="5" max="5" width="22.5546875" style="3" customWidth="1"/>
    <col min="6" max="16384" width="9.109375" style="3"/>
  </cols>
  <sheetData>
    <row r="1" spans="1:7" x14ac:dyDescent="0.3">
      <c r="A1" s="2" t="s">
        <v>0</v>
      </c>
      <c r="B1" s="20" t="s">
        <v>263</v>
      </c>
    </row>
    <row r="2" spans="1:7" x14ac:dyDescent="0.3">
      <c r="A2" s="3" t="s">
        <v>96</v>
      </c>
      <c r="B2" s="3" t="str">
        <f>TRIM(A2)</f>
        <v>Macdonald, Mark</v>
      </c>
    </row>
    <row r="3" spans="1:7" x14ac:dyDescent="0.3">
      <c r="A3" s="3" t="s">
        <v>108</v>
      </c>
      <c r="B3" s="3" t="str">
        <f t="shared" ref="B3:B21" si="0">TRIM(A3)</f>
        <v>Watanuki, Cathy</v>
      </c>
      <c r="D3" s="6"/>
    </row>
    <row r="4" spans="1:7" x14ac:dyDescent="0.3">
      <c r="A4" s="3" t="s">
        <v>106</v>
      </c>
      <c r="B4" s="3" t="str">
        <f t="shared" si="0"/>
        <v>Nichols, Don</v>
      </c>
    </row>
    <row r="5" spans="1:7" x14ac:dyDescent="0.3">
      <c r="A5" s="3" t="s">
        <v>171</v>
      </c>
      <c r="B5" s="3" t="str">
        <f t="shared" si="0"/>
        <v>Lopez, Maria</v>
      </c>
    </row>
    <row r="6" spans="1:7" x14ac:dyDescent="0.3">
      <c r="A6" s="3" t="s">
        <v>98</v>
      </c>
      <c r="B6" s="3" t="str">
        <f t="shared" si="0"/>
        <v>Tidwell, Liesl</v>
      </c>
    </row>
    <row r="7" spans="1:7" x14ac:dyDescent="0.3">
      <c r="A7" s="3" t="s">
        <v>209</v>
      </c>
      <c r="B7" s="3" t="str">
        <f t="shared" si="0"/>
        <v>Björling, Jussi</v>
      </c>
    </row>
    <row r="8" spans="1:7" x14ac:dyDescent="0.3">
      <c r="A8" s="3" t="s">
        <v>211</v>
      </c>
      <c r="B8" s="3" t="str">
        <f t="shared" si="0"/>
        <v>Fox, Ed</v>
      </c>
    </row>
    <row r="9" spans="1:7" x14ac:dyDescent="0.3">
      <c r="A9" s="3" t="s">
        <v>109</v>
      </c>
      <c r="B9" s="3" t="str">
        <f t="shared" si="0"/>
        <v>Catalano, Robert</v>
      </c>
    </row>
    <row r="10" spans="1:7" x14ac:dyDescent="0.3">
      <c r="A10" s="3" t="s">
        <v>250</v>
      </c>
      <c r="B10" s="3" t="str">
        <f t="shared" si="0"/>
        <v>Fitzgerald, Jackie</v>
      </c>
    </row>
    <row r="11" spans="1:7" x14ac:dyDescent="0.3">
      <c r="A11" s="3" t="s">
        <v>157</v>
      </c>
      <c r="B11" s="3" t="str">
        <f t="shared" si="0"/>
        <v>Harvey, Harlon</v>
      </c>
    </row>
    <row r="12" spans="1:7" x14ac:dyDescent="0.3">
      <c r="A12" s="3" t="s">
        <v>210</v>
      </c>
      <c r="B12" s="3" t="str">
        <f t="shared" si="0"/>
        <v>Fier, Marilyn</v>
      </c>
    </row>
    <row r="13" spans="1:7" x14ac:dyDescent="0.3">
      <c r="A13" s="3" t="s">
        <v>4</v>
      </c>
      <c r="B13" s="3" t="str">
        <f t="shared" si="0"/>
        <v>O'Brien, Donna</v>
      </c>
    </row>
    <row r="14" spans="1:7" x14ac:dyDescent="0.3">
      <c r="A14" s="3" t="s">
        <v>94</v>
      </c>
      <c r="B14" s="3" t="str">
        <f t="shared" si="0"/>
        <v>Hansen, Sheila</v>
      </c>
    </row>
    <row r="15" spans="1:7" x14ac:dyDescent="0.3">
      <c r="A15" s="3" t="s">
        <v>105</v>
      </c>
      <c r="B15" s="3" t="str">
        <f t="shared" si="0"/>
        <v>Konopka, Robert</v>
      </c>
    </row>
    <row r="16" spans="1:7" x14ac:dyDescent="0.3">
      <c r="A16" s="3" t="s">
        <v>104</v>
      </c>
      <c r="B16" s="3" t="str">
        <f t="shared" si="0"/>
        <v>Wagner, Max</v>
      </c>
      <c r="G16" s="7"/>
    </row>
    <row r="17" spans="1:2" x14ac:dyDescent="0.3">
      <c r="A17" s="3" t="s">
        <v>100</v>
      </c>
      <c r="B17" s="3" t="str">
        <f t="shared" si="0"/>
        <v>Chambers, Karen</v>
      </c>
    </row>
    <row r="18" spans="1:2" x14ac:dyDescent="0.3">
      <c r="A18" s="3" t="s">
        <v>99</v>
      </c>
      <c r="B18" s="3" t="str">
        <f t="shared" si="0"/>
        <v>Eaton, Jeffrey</v>
      </c>
    </row>
    <row r="19" spans="1:2" x14ac:dyDescent="0.3">
      <c r="A19" s="3" t="s">
        <v>103</v>
      </c>
      <c r="B19" s="3" t="str">
        <f t="shared" si="0"/>
        <v>Priem, George</v>
      </c>
    </row>
    <row r="20" spans="1:2" x14ac:dyDescent="0.3">
      <c r="A20" s="3" t="s">
        <v>208</v>
      </c>
      <c r="B20" s="3" t="str">
        <f t="shared" si="0"/>
        <v>Baker, Mark</v>
      </c>
    </row>
    <row r="21" spans="1:2" x14ac:dyDescent="0.3">
      <c r="A21" s="3" t="s">
        <v>110</v>
      </c>
      <c r="B21" s="3" t="str">
        <f t="shared" si="0"/>
        <v>Long, Ryan</v>
      </c>
    </row>
  </sheetData>
  <sortState xmlns:xlrd2="http://schemas.microsoft.com/office/spreadsheetml/2017/richdata2" ref="A2:B21">
    <sortCondition ref="B2"/>
  </sortState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rgb="FF00FF00"/>
  </sheetPr>
  <dimension ref="A1:Y19"/>
  <sheetViews>
    <sheetView topLeftCell="I1" zoomScale="145" zoomScaleNormal="145" workbookViewId="0">
      <selection activeCell="O10" sqref="O10"/>
    </sheetView>
  </sheetViews>
  <sheetFormatPr defaultColWidth="9.109375" defaultRowHeight="14.4" x14ac:dyDescent="0.3"/>
  <cols>
    <col min="1" max="1" width="9" style="3" bestFit="1" customWidth="1"/>
    <col min="2" max="2" width="10.44140625" style="3" bestFit="1" customWidth="1"/>
    <col min="3" max="3" width="6.44140625" style="3" customWidth="1"/>
    <col min="4" max="4" width="18.44140625" style="1" customWidth="1"/>
    <col min="5" max="5" width="21.44140625" style="3" customWidth="1"/>
    <col min="6" max="6" width="23.44140625" style="3" customWidth="1"/>
    <col min="7" max="7" width="17.88671875" style="3" bestFit="1" customWidth="1"/>
    <col min="8" max="8" width="14" style="3" bestFit="1" customWidth="1"/>
    <col min="9" max="9" width="24.88671875" style="3" customWidth="1"/>
    <col min="10" max="10" width="14.6640625" style="3" bestFit="1" customWidth="1"/>
    <col min="11" max="11" width="13.6640625" style="3" bestFit="1" customWidth="1"/>
    <col min="12" max="12" width="13.88671875" style="3" bestFit="1" customWidth="1"/>
    <col min="13" max="13" width="13.21875" style="3" bestFit="1" customWidth="1"/>
    <col min="14" max="14" width="18.88671875" style="3" bestFit="1" customWidth="1"/>
    <col min="15" max="15" width="15.21875" style="3" bestFit="1" customWidth="1"/>
    <col min="16" max="16" width="13.88671875" style="3" bestFit="1" customWidth="1"/>
    <col min="17" max="17" width="15.88671875" style="3" bestFit="1" customWidth="1"/>
    <col min="18" max="18" width="17.5546875" style="3" bestFit="1" customWidth="1"/>
    <col min="19" max="19" width="15.44140625" style="3" bestFit="1" customWidth="1"/>
    <col min="20" max="20" width="14.21875" style="3" bestFit="1" customWidth="1"/>
    <col min="21" max="21" width="15.21875" style="3" bestFit="1" customWidth="1"/>
    <col min="22" max="22" width="15.5546875" style="3" bestFit="1" customWidth="1"/>
    <col min="23" max="23" width="17.21875" style="3" bestFit="1" customWidth="1"/>
    <col min="24" max="25" width="15.5546875" style="3" bestFit="1" customWidth="1"/>
    <col min="26" max="16384" width="9.109375" style="3"/>
  </cols>
  <sheetData>
    <row r="1" spans="1:25" x14ac:dyDescent="0.3">
      <c r="A1" s="2" t="s">
        <v>1</v>
      </c>
      <c r="B1" s="2" t="s">
        <v>2</v>
      </c>
      <c r="C1" s="2" t="s">
        <v>154</v>
      </c>
      <c r="D1" s="16" t="s">
        <v>254</v>
      </c>
      <c r="G1" s="5" t="s">
        <v>158</v>
      </c>
      <c r="H1" s="5"/>
      <c r="J1" s="3" t="str" cm="1">
        <f t="array" ref="J1:M1">_xlfn.TEXTSPLIT(I2," ")</f>
        <v>Mark</v>
      </c>
      <c r="K1" s="3" t="str">
        <v>S</v>
      </c>
      <c r="L1" s="3" t="str">
        <v>Baker</v>
      </c>
      <c r="M1" s="3" t="str">
        <v/>
      </c>
      <c r="U1" s="5"/>
      <c r="V1" s="5"/>
      <c r="W1" s="5"/>
      <c r="X1" s="5"/>
      <c r="Y1" s="5"/>
    </row>
    <row r="2" spans="1:25" x14ac:dyDescent="0.3">
      <c r="A2" s="3" t="s">
        <v>111</v>
      </c>
      <c r="B2" s="3" t="s">
        <v>255</v>
      </c>
      <c r="C2" s="3" t="s">
        <v>147</v>
      </c>
      <c r="D2" s="3" t="s">
        <v>264</v>
      </c>
      <c r="F2" s="3" t="str">
        <f>_xlfn.CONCAT(B2,",",A2," ",C2)</f>
        <v>Baker ,Mark S</v>
      </c>
      <c r="G2" s="5" t="s">
        <v>94</v>
      </c>
      <c r="H2" s="5"/>
      <c r="I2" s="3" t="s">
        <v>264</v>
      </c>
      <c r="J2" s="3" t="str" cm="1">
        <f t="array" ref="J2:L2">_xlfn.TEXTSPLIT(I3," ")</f>
        <v>Sheila</v>
      </c>
      <c r="K2" s="3" t="str">
        <v/>
      </c>
      <c r="L2" s="3" t="str">
        <v>Hansen</v>
      </c>
      <c r="U2" s="5"/>
      <c r="V2" s="5"/>
      <c r="W2" s="5"/>
      <c r="X2" s="5"/>
      <c r="Y2" s="5"/>
    </row>
    <row r="3" spans="1:25" x14ac:dyDescent="0.3">
      <c r="A3" s="3" t="s">
        <v>112</v>
      </c>
      <c r="B3" s="3" t="s">
        <v>113</v>
      </c>
      <c r="D3" s="3" t="s">
        <v>265</v>
      </c>
      <c r="F3" s="3" t="str">
        <f t="shared" ref="F3:F19" si="0">_xlfn.CONCAT(B3,",",A3," ",C3)</f>
        <v xml:space="preserve">Hansen,Sheila </v>
      </c>
      <c r="G3" s="5" t="s">
        <v>192</v>
      </c>
      <c r="H3" s="5"/>
      <c r="I3" s="3" t="s">
        <v>265</v>
      </c>
      <c r="J3" s="3" t="str" cm="1">
        <f t="array" ref="J3:L3">_xlfn.TEXTSPLIT(I4," ")</f>
        <v>Norman</v>
      </c>
      <c r="K3" s="3" t="str">
        <v/>
      </c>
      <c r="L3" s="3" t="str">
        <v>Treigle</v>
      </c>
      <c r="N3" s="21" t="s">
        <v>282</v>
      </c>
      <c r="O3" s="21" t="s">
        <v>283</v>
      </c>
    </row>
    <row r="4" spans="1:25" x14ac:dyDescent="0.3">
      <c r="A4" s="3" t="s">
        <v>191</v>
      </c>
      <c r="B4" s="3" t="s">
        <v>190</v>
      </c>
      <c r="D4" s="3" t="s">
        <v>266</v>
      </c>
      <c r="F4" s="3" t="str">
        <f t="shared" si="0"/>
        <v xml:space="preserve">Treigle,Norman </v>
      </c>
      <c r="G4" s="5" t="s">
        <v>159</v>
      </c>
      <c r="H4" s="5"/>
      <c r="I4" s="3" t="s">
        <v>266</v>
      </c>
      <c r="J4" s="3" t="str" cm="1">
        <f t="array" ref="J4:L4">_xlfn.TEXTSPLIT(I5," ")</f>
        <v>Marilyn</v>
      </c>
      <c r="K4" s="3" t="str">
        <v>F</v>
      </c>
      <c r="L4" s="3" t="str">
        <v>Fier</v>
      </c>
      <c r="N4" s="3" t="s">
        <v>284</v>
      </c>
      <c r="O4" s="3" cm="1">
        <f t="array" ref="O4">SUM(--_xlfn.TEXTSPLIT(N4,","))</f>
        <v>309</v>
      </c>
    </row>
    <row r="5" spans="1:25" x14ac:dyDescent="0.3">
      <c r="A5" s="3" t="s">
        <v>114</v>
      </c>
      <c r="B5" s="3" t="s">
        <v>115</v>
      </c>
      <c r="C5" s="3" t="s">
        <v>148</v>
      </c>
      <c r="D5" s="3" t="s">
        <v>267</v>
      </c>
      <c r="F5" s="3" t="str">
        <f t="shared" si="0"/>
        <v>Fier,Marilyn F</v>
      </c>
      <c r="G5" s="5" t="s">
        <v>144</v>
      </c>
      <c r="H5" s="5"/>
      <c r="I5" s="3" t="s">
        <v>267</v>
      </c>
      <c r="J5" s="3" t="str" cm="1">
        <f t="array" ref="J5:L5">_xlfn.TEXTSPLIT(I6," ")</f>
        <v>Mark</v>
      </c>
      <c r="K5" s="3" t="str">
        <v/>
      </c>
      <c r="L5" s="3" t="str">
        <v>Morris</v>
      </c>
      <c r="N5" s="3" t="s">
        <v>285</v>
      </c>
      <c r="O5" s="3" cm="1">
        <f t="array" ref="O5">SUM(--_xlfn.TEXTSPLIT(N5,","))</f>
        <v>291</v>
      </c>
    </row>
    <row r="6" spans="1:25" x14ac:dyDescent="0.3">
      <c r="A6" s="3" t="s">
        <v>111</v>
      </c>
      <c r="B6" s="3" t="s">
        <v>116</v>
      </c>
      <c r="D6" s="3" t="s">
        <v>268</v>
      </c>
      <c r="F6" s="3" t="str">
        <f t="shared" si="0"/>
        <v xml:space="preserve">Morris,Mark </v>
      </c>
      <c r="G6" s="5" t="s">
        <v>145</v>
      </c>
      <c r="H6" s="5"/>
      <c r="I6" s="3" t="s">
        <v>268</v>
      </c>
      <c r="J6" s="3" t="str" cm="1">
        <f t="array" ref="J6:L6">_xlfn.TEXTSPLIT(I7," ")</f>
        <v>Jussi</v>
      </c>
      <c r="K6" s="3" t="str">
        <v/>
      </c>
      <c r="L6" s="3" t="str">
        <v>Björling</v>
      </c>
      <c r="N6" s="3" t="s">
        <v>287</v>
      </c>
      <c r="O6" s="3" cm="1">
        <f t="array" ref="O6">SUM(--_xlfn.TEXTSPLIT(N6,","))</f>
        <v>263</v>
      </c>
    </row>
    <row r="7" spans="1:25" x14ac:dyDescent="0.3">
      <c r="A7" s="3" t="s">
        <v>117</v>
      </c>
      <c r="B7" s="3" t="s">
        <v>118</v>
      </c>
      <c r="D7" s="3" t="s">
        <v>269</v>
      </c>
      <c r="F7" s="3" t="str">
        <f t="shared" si="0"/>
        <v xml:space="preserve">Björling,Jussi </v>
      </c>
      <c r="G7" s="5" t="s">
        <v>160</v>
      </c>
      <c r="H7" s="5"/>
      <c r="I7" s="3" t="s">
        <v>269</v>
      </c>
      <c r="J7" s="3" t="str" cm="1">
        <f t="array" ref="J7:L7">_xlfn.TEXTSPLIT(I8," ")</f>
        <v>Ryan</v>
      </c>
      <c r="K7" s="3" t="str">
        <v>H</v>
      </c>
      <c r="L7" s="3" t="str">
        <v>Long</v>
      </c>
      <c r="N7" s="3" t="s">
        <v>286</v>
      </c>
      <c r="O7" s="3" cm="1">
        <f t="array" ref="O7">SUM(--_xlfn.TEXTSPLIT(N7,","))</f>
        <v>236</v>
      </c>
    </row>
    <row r="8" spans="1:25" x14ac:dyDescent="0.3">
      <c r="A8" s="3" t="s">
        <v>119</v>
      </c>
      <c r="B8" s="3" t="s">
        <v>120</v>
      </c>
      <c r="C8" s="3" t="s">
        <v>149</v>
      </c>
      <c r="D8" s="3" t="s">
        <v>270</v>
      </c>
      <c r="F8" s="3" t="str">
        <f t="shared" si="0"/>
        <v>Long,Ryan H</v>
      </c>
      <c r="G8" s="5" t="s">
        <v>161</v>
      </c>
      <c r="H8" s="5"/>
      <c r="I8" s="3" t="s">
        <v>270</v>
      </c>
      <c r="J8" s="3" t="str" cm="1">
        <f t="array" ref="J8:L8">_xlfn.TEXTSPLIT(I9," ")</f>
        <v>Jackie</v>
      </c>
      <c r="K8" s="3" t="str">
        <v>B</v>
      </c>
      <c r="L8" s="3" t="str">
        <v>Fitzgerald</v>
      </c>
      <c r="N8" s="3" t="s">
        <v>285</v>
      </c>
      <c r="O8" s="3" cm="1">
        <f t="array" ref="O8">SUM(--_xlfn.TEXTSPLIT(N8,","))</f>
        <v>291</v>
      </c>
    </row>
    <row r="9" spans="1:25" x14ac:dyDescent="0.3">
      <c r="A9" s="3" t="s">
        <v>121</v>
      </c>
      <c r="B9" s="3" t="s">
        <v>122</v>
      </c>
      <c r="C9" s="3" t="s">
        <v>150</v>
      </c>
      <c r="D9" s="3" t="s">
        <v>271</v>
      </c>
      <c r="F9" s="3" t="str">
        <f t="shared" si="0"/>
        <v>Fitzgerald,Jackie B</v>
      </c>
      <c r="G9" s="5" t="s">
        <v>146</v>
      </c>
      <c r="H9" s="5"/>
      <c r="I9" s="3" t="s">
        <v>271</v>
      </c>
      <c r="J9" s="3" t="str" cm="1">
        <f t="array" ref="J9:L9">_xlfn.TEXTSPLIT(I10," ")</f>
        <v>Riccardo</v>
      </c>
      <c r="K9" s="3" t="str">
        <v/>
      </c>
      <c r="L9" s="3" t="str">
        <v>Muti</v>
      </c>
      <c r="N9" s="3" t="s">
        <v>288</v>
      </c>
      <c r="O9" s="3" cm="1">
        <f t="array" ref="O9">SUM(--_xlfn.TEXTSPLIT(N9,","))</f>
        <v>256</v>
      </c>
    </row>
    <row r="10" spans="1:25" x14ac:dyDescent="0.3">
      <c r="A10" s="3" t="s">
        <v>123</v>
      </c>
      <c r="B10" s="3" t="s">
        <v>124</v>
      </c>
      <c r="D10" s="3" t="s">
        <v>272</v>
      </c>
      <c r="F10" s="3" t="str">
        <f t="shared" si="0"/>
        <v xml:space="preserve">Muti,Riccardo </v>
      </c>
      <c r="G10" s="5" t="s">
        <v>98</v>
      </c>
      <c r="H10" s="5"/>
      <c r="I10" s="3" t="s">
        <v>272</v>
      </c>
      <c r="J10" s="3" t="str" cm="1">
        <f t="array" ref="J10:L10">_xlfn.TEXTSPLIT(I11," ")</f>
        <v>Liesl</v>
      </c>
      <c r="K10" s="3" t="str">
        <v/>
      </c>
      <c r="L10" s="3" t="str">
        <v>Tidwell</v>
      </c>
      <c r="N10" s="3" t="s">
        <v>290</v>
      </c>
      <c r="O10" s="3" cm="1">
        <f t="array" ref="O10">SUM(--_xlfn.TEXTSPLIT(N10,","))</f>
        <v>252</v>
      </c>
    </row>
    <row r="11" spans="1:25" x14ac:dyDescent="0.3">
      <c r="A11" s="3" t="s">
        <v>125</v>
      </c>
      <c r="B11" s="3" t="s">
        <v>126</v>
      </c>
      <c r="D11" s="3" t="s">
        <v>273</v>
      </c>
      <c r="F11" s="3" t="str">
        <f t="shared" si="0"/>
        <v xml:space="preserve">Tidwell,Liesl </v>
      </c>
      <c r="G11" s="5" t="s">
        <v>162</v>
      </c>
      <c r="H11" s="5"/>
      <c r="I11" s="3" t="s">
        <v>273</v>
      </c>
      <c r="J11" s="3" t="str" cm="1">
        <f t="array" ref="J11:L11">_xlfn.TEXTSPLIT(I12," ")</f>
        <v>Jeffrey</v>
      </c>
      <c r="K11" s="3" t="str">
        <v>N</v>
      </c>
      <c r="L11" s="3" t="str">
        <v>Eaton</v>
      </c>
      <c r="N11" s="3" t="s">
        <v>289</v>
      </c>
      <c r="O11" s="3" cm="1">
        <f t="array" ref="O11">SUM(--_xlfn.TEXTSPLIT(N11,","))</f>
        <v>257</v>
      </c>
    </row>
    <row r="12" spans="1:25" x14ac:dyDescent="0.3">
      <c r="A12" s="3" t="s">
        <v>127</v>
      </c>
      <c r="B12" s="3" t="s">
        <v>128</v>
      </c>
      <c r="C12" s="3" t="s">
        <v>151</v>
      </c>
      <c r="D12" s="3" t="s">
        <v>274</v>
      </c>
      <c r="F12" s="3" t="str">
        <f t="shared" si="0"/>
        <v>Eaton,Jeffrey N</v>
      </c>
      <c r="G12" s="5" t="s">
        <v>100</v>
      </c>
      <c r="H12" s="5"/>
      <c r="I12" s="3" t="s">
        <v>274</v>
      </c>
      <c r="J12" s="3" t="str" cm="1">
        <f t="array" ref="J12:L12">_xlfn.TEXTSPLIT(I13," ")</f>
        <v>Karen</v>
      </c>
      <c r="K12" s="3" t="str">
        <v/>
      </c>
      <c r="L12" s="3" t="str">
        <v>Chambers</v>
      </c>
    </row>
    <row r="13" spans="1:25" x14ac:dyDescent="0.3">
      <c r="A13" s="3" t="s">
        <v>129</v>
      </c>
      <c r="B13" s="3" t="s">
        <v>130</v>
      </c>
      <c r="D13" s="3" t="s">
        <v>275</v>
      </c>
      <c r="F13" s="3" t="str">
        <f t="shared" si="0"/>
        <v xml:space="preserve">Chambers,Karen </v>
      </c>
      <c r="G13" s="5" t="s">
        <v>163</v>
      </c>
      <c r="H13" s="5"/>
      <c r="I13" s="3" t="s">
        <v>275</v>
      </c>
      <c r="J13" s="3" t="str" cm="1">
        <f t="array" ref="J13:L13">_xlfn.TEXTSPLIT(I14," ")</f>
        <v>Barney</v>
      </c>
      <c r="K13" s="3" t="str">
        <v>E</v>
      </c>
      <c r="L13" s="3" t="str">
        <v>Perez</v>
      </c>
    </row>
    <row r="14" spans="1:25" x14ac:dyDescent="0.3">
      <c r="A14" s="3" t="s">
        <v>131</v>
      </c>
      <c r="B14" s="3" t="s">
        <v>132</v>
      </c>
      <c r="C14" s="3" t="s">
        <v>152</v>
      </c>
      <c r="D14" s="3" t="s">
        <v>276</v>
      </c>
      <c r="F14" s="3" t="str">
        <f t="shared" si="0"/>
        <v>Perez,Barney E</v>
      </c>
      <c r="G14" s="3" t="s">
        <v>102</v>
      </c>
      <c r="H14" s="5"/>
      <c r="I14" s="3" t="s">
        <v>276</v>
      </c>
      <c r="J14" s="3" t="str" cm="1">
        <f t="array" ref="J14:L14">_xlfn.TEXTSPLIT(I15," ")</f>
        <v>Cathy</v>
      </c>
      <c r="K14" s="3" t="str">
        <v/>
      </c>
      <c r="L14" s="3" t="str">
        <v>Watanuki</v>
      </c>
      <c r="N14" s="3" t="s">
        <v>284</v>
      </c>
      <c r="O14" s="3">
        <v>90</v>
      </c>
    </row>
    <row r="15" spans="1:25" x14ac:dyDescent="0.3">
      <c r="A15" s="3" t="s">
        <v>133</v>
      </c>
      <c r="B15" s="3" t="s">
        <v>134</v>
      </c>
      <c r="D15" s="3" t="s">
        <v>277</v>
      </c>
      <c r="F15" s="3" t="str">
        <f t="shared" si="0"/>
        <v xml:space="preserve">Watanuki,Cathy </v>
      </c>
      <c r="G15" s="3" t="s">
        <v>188</v>
      </c>
      <c r="H15" s="5"/>
      <c r="I15" s="3" t="s">
        <v>277</v>
      </c>
      <c r="O15" s="3">
        <v>80</v>
      </c>
    </row>
    <row r="16" spans="1:25" x14ac:dyDescent="0.3">
      <c r="A16" s="3" t="s">
        <v>135</v>
      </c>
      <c r="B16" s="3" t="s">
        <v>136</v>
      </c>
      <c r="C16" s="3" t="s">
        <v>149</v>
      </c>
      <c r="D16" s="3" t="s">
        <v>278</v>
      </c>
      <c r="F16" s="3" t="str">
        <f t="shared" si="0"/>
        <v>Wagner,Max H</v>
      </c>
      <c r="G16" s="3" t="s">
        <v>105</v>
      </c>
      <c r="H16" s="5"/>
      <c r="I16" s="3" t="s">
        <v>278</v>
      </c>
      <c r="O16" s="3">
        <v>79</v>
      </c>
    </row>
    <row r="17" spans="1:15" x14ac:dyDescent="0.3">
      <c r="A17" s="3" t="s">
        <v>137</v>
      </c>
      <c r="B17" s="3" t="s">
        <v>138</v>
      </c>
      <c r="D17" s="3" t="s">
        <v>279</v>
      </c>
      <c r="F17" s="3" t="str">
        <f t="shared" si="0"/>
        <v xml:space="preserve">Konopka,Robert </v>
      </c>
      <c r="G17" s="3" t="s">
        <v>189</v>
      </c>
      <c r="H17" s="5"/>
      <c r="I17" s="3" t="s">
        <v>279</v>
      </c>
      <c r="O17" s="3">
        <v>60</v>
      </c>
    </row>
    <row r="18" spans="1:15" x14ac:dyDescent="0.3">
      <c r="A18" s="3" t="s">
        <v>139</v>
      </c>
      <c r="B18" s="3" t="s">
        <v>140</v>
      </c>
      <c r="C18" s="3" t="s">
        <v>153</v>
      </c>
      <c r="D18" s="3" t="s">
        <v>280</v>
      </c>
      <c r="F18" s="3" t="str">
        <f t="shared" si="0"/>
        <v>Nichols,Don W</v>
      </c>
      <c r="G18" s="3" t="s">
        <v>107</v>
      </c>
      <c r="H18" s="5"/>
      <c r="I18" s="3" t="s">
        <v>280</v>
      </c>
      <c r="O18" s="3">
        <f>SUM(O14:O17)</f>
        <v>309</v>
      </c>
    </row>
    <row r="19" spans="1:15" x14ac:dyDescent="0.3">
      <c r="A19" s="3" t="s">
        <v>141</v>
      </c>
      <c r="B19" s="3" t="s">
        <v>142</v>
      </c>
      <c r="D19" s="3" t="s">
        <v>281</v>
      </c>
      <c r="F19" s="3" t="str">
        <f t="shared" si="0"/>
        <v xml:space="preserve">Harvey,Harlon </v>
      </c>
      <c r="I19" s="3" t="s">
        <v>281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66CCFF"/>
  </sheetPr>
  <dimension ref="A1:I42"/>
  <sheetViews>
    <sheetView zoomScale="115" zoomScaleNormal="115" workbookViewId="0">
      <selection activeCell="F2" sqref="F2"/>
    </sheetView>
  </sheetViews>
  <sheetFormatPr defaultColWidth="9.109375" defaultRowHeight="14.4" x14ac:dyDescent="0.3"/>
  <cols>
    <col min="1" max="1" width="9.109375" style="3"/>
    <col min="2" max="2" width="21.88671875" style="3" customWidth="1"/>
    <col min="3" max="3" width="20" style="3" bestFit="1" customWidth="1"/>
    <col min="4" max="4" width="20" style="3" customWidth="1"/>
    <col min="5" max="5" width="18.5546875" style="3" customWidth="1"/>
    <col min="6" max="6" width="10.109375" style="3" bestFit="1" customWidth="1"/>
    <col min="7" max="7" width="11.88671875" style="3" customWidth="1"/>
    <col min="8" max="8" width="23.44140625" style="3" customWidth="1"/>
    <col min="9" max="9" width="20.109375" style="3" customWidth="1"/>
    <col min="10" max="10" width="11.6640625" style="3" bestFit="1" customWidth="1"/>
    <col min="11" max="11" width="11.6640625" style="3" customWidth="1"/>
    <col min="12" max="16384" width="9.109375" style="3"/>
  </cols>
  <sheetData>
    <row r="1" spans="1:9" ht="21" x14ac:dyDescent="0.4">
      <c r="A1" s="2" t="s">
        <v>3</v>
      </c>
      <c r="B1" s="16" t="s">
        <v>251</v>
      </c>
      <c r="C1" s="2" t="s">
        <v>0</v>
      </c>
      <c r="D1" s="16" t="s">
        <v>252</v>
      </c>
      <c r="E1" s="16" t="s">
        <v>253</v>
      </c>
      <c r="F1" s="2" t="s">
        <v>1</v>
      </c>
      <c r="G1" s="2" t="s">
        <v>2</v>
      </c>
      <c r="I1" s="17"/>
    </row>
    <row r="2" spans="1:9" x14ac:dyDescent="0.3">
      <c r="A2" s="3" t="s">
        <v>215</v>
      </c>
      <c r="B2" s="3" t="str">
        <f>UPPER(C2)</f>
        <v>O'BRIEN, ED</v>
      </c>
      <c r="C2" s="3" t="s">
        <v>213</v>
      </c>
      <c r="D2" s="3" t="str">
        <f>LOWER(C2)</f>
        <v>o'brien, ed</v>
      </c>
      <c r="E2" s="3" t="str">
        <f>PROPER(C2)</f>
        <v>O'Brien, Ed</v>
      </c>
      <c r="F2" s="3" t="s">
        <v>5</v>
      </c>
      <c r="G2" s="3" t="s">
        <v>6</v>
      </c>
    </row>
    <row r="3" spans="1:9" x14ac:dyDescent="0.3">
      <c r="A3" s="3" t="s">
        <v>232</v>
      </c>
      <c r="B3" s="3" t="str">
        <f t="shared" ref="B3:B20" si="0">UPPER(C3)</f>
        <v>FOX, MARY</v>
      </c>
      <c r="C3" s="3" t="s">
        <v>214</v>
      </c>
      <c r="D3" s="3" t="str">
        <f t="shared" ref="D3:D22" si="1">LOWER(C3)</f>
        <v>fox, mary</v>
      </c>
      <c r="E3" s="3" t="str">
        <f t="shared" ref="E3:E20" si="2">PROPER(C3)</f>
        <v>Fox, Mary</v>
      </c>
      <c r="F3" s="3" t="s">
        <v>9</v>
      </c>
      <c r="G3" s="3" t="s">
        <v>10</v>
      </c>
    </row>
    <row r="4" spans="1:9" x14ac:dyDescent="0.3">
      <c r="A4" s="3" t="s">
        <v>216</v>
      </c>
      <c r="B4" s="3" t="str">
        <f t="shared" si="0"/>
        <v>BAKER,  MARK</v>
      </c>
      <c r="C4" s="3" t="s">
        <v>93</v>
      </c>
      <c r="D4" s="3" t="str">
        <f t="shared" si="1"/>
        <v>baker,  mark</v>
      </c>
      <c r="E4" s="3" t="str">
        <f t="shared" si="2"/>
        <v>Baker,  Mark</v>
      </c>
      <c r="F4" s="3" t="s">
        <v>12</v>
      </c>
      <c r="G4" s="3" t="s">
        <v>13</v>
      </c>
    </row>
    <row r="5" spans="1:9" x14ac:dyDescent="0.3">
      <c r="A5" s="3" t="s">
        <v>233</v>
      </c>
      <c r="B5" s="3" t="str">
        <f t="shared" si="0"/>
        <v>HANSEN, SHEILA ANN</v>
      </c>
      <c r="C5" s="3" t="s">
        <v>164</v>
      </c>
      <c r="D5" s="3" t="str">
        <f t="shared" si="1"/>
        <v>hansen, sheila ann</v>
      </c>
      <c r="E5" s="3" t="str">
        <f t="shared" si="2"/>
        <v>Hansen, Sheila Ann</v>
      </c>
      <c r="F5" s="3" t="s">
        <v>5</v>
      </c>
      <c r="G5" s="3" t="s">
        <v>15</v>
      </c>
    </row>
    <row r="6" spans="1:9" x14ac:dyDescent="0.3">
      <c r="A6" s="3" t="s">
        <v>217</v>
      </c>
      <c r="B6" s="3" t="str">
        <f t="shared" si="0"/>
        <v>FIER, MARILYN</v>
      </c>
      <c r="C6" s="3" t="s">
        <v>17</v>
      </c>
      <c r="D6" s="3" t="str">
        <f t="shared" si="1"/>
        <v>fier, marilyn</v>
      </c>
      <c r="E6" s="3" t="str">
        <f t="shared" si="2"/>
        <v>Fier, Marilyn</v>
      </c>
      <c r="F6" s="3" t="s">
        <v>18</v>
      </c>
      <c r="G6" s="3" t="s">
        <v>19</v>
      </c>
    </row>
    <row r="7" spans="1:9" x14ac:dyDescent="0.3">
      <c r="A7" s="3" t="s">
        <v>234</v>
      </c>
      <c r="B7" s="3" t="str">
        <f t="shared" si="0"/>
        <v>MAC DONALD, MARK</v>
      </c>
      <c r="C7" s="3" t="s">
        <v>212</v>
      </c>
      <c r="D7" s="3" t="str">
        <f t="shared" si="1"/>
        <v>mac donald, mark</v>
      </c>
      <c r="E7" s="3" t="str">
        <f t="shared" si="2"/>
        <v>Mac Donald, Mark</v>
      </c>
      <c r="F7" s="3" t="s">
        <v>194</v>
      </c>
      <c r="G7" s="3" t="s">
        <v>195</v>
      </c>
    </row>
    <row r="8" spans="1:9" x14ac:dyDescent="0.3">
      <c r="A8" s="3" t="s">
        <v>218</v>
      </c>
      <c r="B8" s="3" t="str">
        <f t="shared" si="0"/>
        <v>MORGAN-JONES, ERIC</v>
      </c>
      <c r="C8" s="3" t="s">
        <v>166</v>
      </c>
      <c r="D8" s="3" t="str">
        <f t="shared" si="1"/>
        <v>morgan-jones, eric</v>
      </c>
      <c r="E8" s="3" t="str">
        <f t="shared" si="2"/>
        <v>Morgan-Jones, Eric</v>
      </c>
      <c r="F8" s="3" t="s">
        <v>22</v>
      </c>
      <c r="G8" s="3" t="s">
        <v>196</v>
      </c>
    </row>
    <row r="9" spans="1:9" x14ac:dyDescent="0.3">
      <c r="A9" s="3" t="s">
        <v>219</v>
      </c>
      <c r="B9" s="3" t="str">
        <f t="shared" si="0"/>
        <v>TREIGLE, NORMAN</v>
      </c>
      <c r="C9" s="3" t="s">
        <v>193</v>
      </c>
      <c r="D9" s="3" t="str">
        <f t="shared" si="1"/>
        <v>treigle, norman</v>
      </c>
      <c r="E9" s="3" t="str">
        <f t="shared" si="2"/>
        <v>Treigle, Norman</v>
      </c>
      <c r="F9" s="3" t="s">
        <v>24</v>
      </c>
      <c r="G9" s="3" t="s">
        <v>25</v>
      </c>
    </row>
    <row r="10" spans="1:9" x14ac:dyDescent="0.3">
      <c r="A10" s="3" t="s">
        <v>220</v>
      </c>
      <c r="B10" s="3" t="str">
        <f t="shared" si="0"/>
        <v>FITZGERALD, JACKIE</v>
      </c>
      <c r="C10" s="3" t="s">
        <v>27</v>
      </c>
      <c r="D10" s="3" t="str">
        <f t="shared" si="1"/>
        <v>fitzgerald, jackie</v>
      </c>
      <c r="E10" s="3" t="str">
        <f t="shared" si="2"/>
        <v>Fitzgerald, Jackie</v>
      </c>
      <c r="F10" s="3" t="s">
        <v>28</v>
      </c>
      <c r="G10" s="3" t="s">
        <v>29</v>
      </c>
    </row>
    <row r="11" spans="1:9" x14ac:dyDescent="0.3">
      <c r="A11" s="3" t="s">
        <v>221</v>
      </c>
      <c r="B11" s="3" t="str">
        <f t="shared" si="0"/>
        <v>TIDWELL, LIESL</v>
      </c>
      <c r="C11" s="3" t="s">
        <v>31</v>
      </c>
      <c r="D11" s="3" t="str">
        <f t="shared" si="1"/>
        <v>tidwell, liesl</v>
      </c>
      <c r="E11" s="3" t="str">
        <f t="shared" si="2"/>
        <v>Tidwell, Liesl</v>
      </c>
      <c r="F11" s="3" t="s">
        <v>32</v>
      </c>
      <c r="G11" s="3" t="s">
        <v>33</v>
      </c>
    </row>
    <row r="12" spans="1:9" x14ac:dyDescent="0.3">
      <c r="A12" s="3" t="s">
        <v>235</v>
      </c>
      <c r="B12" s="3" t="str">
        <f t="shared" si="0"/>
        <v>EATON, JEFFREY</v>
      </c>
      <c r="C12" s="3" t="s">
        <v>34</v>
      </c>
      <c r="D12" s="3" t="str">
        <f t="shared" si="1"/>
        <v>eaton, jeffrey</v>
      </c>
      <c r="E12" s="3" t="str">
        <f t="shared" si="2"/>
        <v>Eaton, Jeffrey</v>
      </c>
      <c r="F12" s="3" t="s">
        <v>35</v>
      </c>
      <c r="G12" s="3" t="s">
        <v>36</v>
      </c>
    </row>
    <row r="13" spans="1:9" x14ac:dyDescent="0.3">
      <c r="A13" s="3" t="s">
        <v>222</v>
      </c>
      <c r="B13" s="3" t="str">
        <f t="shared" si="0"/>
        <v>CHAMBERS, KAREN</v>
      </c>
      <c r="C13" s="3" t="s">
        <v>38</v>
      </c>
      <c r="D13" s="3" t="str">
        <f t="shared" si="1"/>
        <v>chambers, karen</v>
      </c>
      <c r="E13" s="3" t="str">
        <f t="shared" si="2"/>
        <v>Chambers, Karen</v>
      </c>
      <c r="F13" s="3" t="s">
        <v>198</v>
      </c>
      <c r="G13" s="3" t="s">
        <v>199</v>
      </c>
    </row>
    <row r="14" spans="1:9" x14ac:dyDescent="0.3">
      <c r="A14" s="3" t="s">
        <v>223</v>
      </c>
      <c r="B14" s="3" t="str">
        <f t="shared" si="0"/>
        <v>PEREZ, BARNEY</v>
      </c>
      <c r="C14" s="3" t="s">
        <v>40</v>
      </c>
      <c r="D14" s="3" t="str">
        <f t="shared" si="1"/>
        <v>perez, barney</v>
      </c>
      <c r="E14" s="3" t="str">
        <f t="shared" si="2"/>
        <v>Perez, Barney</v>
      </c>
      <c r="F14" s="3" t="s">
        <v>41</v>
      </c>
      <c r="G14" s="3" t="s">
        <v>197</v>
      </c>
    </row>
    <row r="15" spans="1:9" x14ac:dyDescent="0.3">
      <c r="A15" s="3" t="s">
        <v>224</v>
      </c>
      <c r="B15" s="3" t="str">
        <f t="shared" si="0"/>
        <v>WATANUKI, CATHY</v>
      </c>
      <c r="C15" s="3" t="s">
        <v>42</v>
      </c>
      <c r="D15" s="3" t="str">
        <f t="shared" si="1"/>
        <v>watanuki, cathy</v>
      </c>
      <c r="E15" s="3" t="str">
        <f t="shared" si="2"/>
        <v>Watanuki, Cathy</v>
      </c>
      <c r="F15" s="3" t="s">
        <v>43</v>
      </c>
      <c r="G15" s="3" t="s">
        <v>44</v>
      </c>
    </row>
    <row r="16" spans="1:9" x14ac:dyDescent="0.3">
      <c r="A16" s="3" t="s">
        <v>225</v>
      </c>
      <c r="B16" s="3" t="str">
        <f t="shared" si="0"/>
        <v>PRIEM, GEORGE</v>
      </c>
      <c r="C16" s="3" t="s">
        <v>45</v>
      </c>
      <c r="D16" s="3" t="str">
        <f t="shared" si="1"/>
        <v>priem, george</v>
      </c>
      <c r="E16" s="3" t="str">
        <f t="shared" si="2"/>
        <v>Priem, George</v>
      </c>
      <c r="F16" s="3" t="s">
        <v>46</v>
      </c>
      <c r="G16" s="3" t="s">
        <v>47</v>
      </c>
    </row>
    <row r="17" spans="1:7" x14ac:dyDescent="0.3">
      <c r="A17" s="3" t="s">
        <v>226</v>
      </c>
      <c r="B17" s="3" t="str">
        <f t="shared" si="0"/>
        <v>WAGNER, MAX</v>
      </c>
      <c r="C17" s="3" t="s">
        <v>48</v>
      </c>
      <c r="D17" s="3" t="str">
        <f t="shared" si="1"/>
        <v>wagner, max</v>
      </c>
      <c r="E17" s="3" t="str">
        <f t="shared" si="2"/>
        <v>Wagner, Max</v>
      </c>
      <c r="F17" s="3" t="s">
        <v>49</v>
      </c>
      <c r="G17" s="3" t="s">
        <v>50</v>
      </c>
    </row>
    <row r="18" spans="1:7" x14ac:dyDescent="0.3">
      <c r="A18" s="3" t="s">
        <v>227</v>
      </c>
      <c r="B18" s="3" t="str">
        <f t="shared" si="0"/>
        <v>KONOPKA, ROBERT</v>
      </c>
      <c r="C18" s="3" t="s">
        <v>51</v>
      </c>
      <c r="D18" s="3" t="str">
        <f t="shared" si="1"/>
        <v>konopka, robert</v>
      </c>
      <c r="E18" s="3" t="str">
        <f t="shared" si="2"/>
        <v>Konopka, Robert</v>
      </c>
      <c r="F18" s="3" t="s">
        <v>52</v>
      </c>
      <c r="G18" s="3" t="s">
        <v>53</v>
      </c>
    </row>
    <row r="19" spans="1:7" x14ac:dyDescent="0.3">
      <c r="A19" s="3" t="s">
        <v>228</v>
      </c>
      <c r="B19" s="3" t="str">
        <f t="shared" si="0"/>
        <v>NICHOLS, DON</v>
      </c>
      <c r="C19" s="3" t="s">
        <v>54</v>
      </c>
      <c r="D19" s="3" t="str">
        <f t="shared" si="1"/>
        <v>nichols, don</v>
      </c>
      <c r="E19" s="3" t="str">
        <f t="shared" si="2"/>
        <v>Nichols, Don</v>
      </c>
      <c r="F19" s="3" t="s">
        <v>55</v>
      </c>
      <c r="G19" s="3" t="s">
        <v>56</v>
      </c>
    </row>
    <row r="20" spans="1:7" x14ac:dyDescent="0.3">
      <c r="A20" s="3" t="s">
        <v>229</v>
      </c>
      <c r="B20" s="3" t="str">
        <f t="shared" si="0"/>
        <v>HARVEY, HARLON</v>
      </c>
      <c r="C20" s="3" t="s">
        <v>57</v>
      </c>
      <c r="D20" s="3" t="str">
        <f t="shared" si="1"/>
        <v>harvey, harlon</v>
      </c>
      <c r="E20" s="3" t="str">
        <f t="shared" si="2"/>
        <v>Harvey, Harlon</v>
      </c>
    </row>
    <row r="21" spans="1:7" x14ac:dyDescent="0.3">
      <c r="A21" s="3" t="s">
        <v>230</v>
      </c>
      <c r="D21" s="3" t="str">
        <f t="shared" si="1"/>
        <v/>
      </c>
    </row>
    <row r="22" spans="1:7" x14ac:dyDescent="0.3">
      <c r="A22" s="3" t="s">
        <v>231</v>
      </c>
      <c r="D22" s="3" t="str">
        <f t="shared" si="1"/>
        <v/>
      </c>
    </row>
    <row r="24" spans="1:7" x14ac:dyDescent="0.3">
      <c r="C24" s="3" t="s">
        <v>58</v>
      </c>
    </row>
    <row r="25" spans="1:7" x14ac:dyDescent="0.3">
      <c r="C25" s="3" t="s">
        <v>59</v>
      </c>
    </row>
    <row r="26" spans="1:7" x14ac:dyDescent="0.3">
      <c r="C26" s="3" t="s">
        <v>60</v>
      </c>
    </row>
    <row r="27" spans="1:7" x14ac:dyDescent="0.3">
      <c r="C27" s="3" t="s">
        <v>61</v>
      </c>
    </row>
    <row r="28" spans="1:7" x14ac:dyDescent="0.3">
      <c r="C28" s="3" t="s">
        <v>62</v>
      </c>
    </row>
    <row r="29" spans="1:7" x14ac:dyDescent="0.3">
      <c r="C29" s="3" t="s">
        <v>63</v>
      </c>
    </row>
    <row r="30" spans="1:7" x14ac:dyDescent="0.3">
      <c r="C30" s="3" t="s">
        <v>64</v>
      </c>
    </row>
    <row r="31" spans="1:7" x14ac:dyDescent="0.3">
      <c r="C31" s="3" t="s">
        <v>65</v>
      </c>
    </row>
    <row r="32" spans="1:7" x14ac:dyDescent="0.3">
      <c r="C32" s="3" t="s">
        <v>66</v>
      </c>
    </row>
    <row r="33" spans="3:3" x14ac:dyDescent="0.3">
      <c r="C33" s="3" t="s">
        <v>67</v>
      </c>
    </row>
    <row r="34" spans="3:3" x14ac:dyDescent="0.3">
      <c r="C34" s="3" t="s">
        <v>68</v>
      </c>
    </row>
    <row r="35" spans="3:3" x14ac:dyDescent="0.3">
      <c r="C35" s="3" t="s">
        <v>69</v>
      </c>
    </row>
    <row r="36" spans="3:3" x14ac:dyDescent="0.3">
      <c r="C36" s="3" t="s">
        <v>70</v>
      </c>
    </row>
    <row r="37" spans="3:3" x14ac:dyDescent="0.3">
      <c r="C37" s="3" t="s">
        <v>71</v>
      </c>
    </row>
    <row r="38" spans="3:3" x14ac:dyDescent="0.3">
      <c r="C38" s="3" t="s">
        <v>72</v>
      </c>
    </row>
    <row r="39" spans="3:3" x14ac:dyDescent="0.3">
      <c r="C39" s="3" t="s">
        <v>73</v>
      </c>
    </row>
    <row r="40" spans="3:3" x14ac:dyDescent="0.3">
      <c r="C40" s="3" t="s">
        <v>74</v>
      </c>
    </row>
    <row r="41" spans="3:3" x14ac:dyDescent="0.3">
      <c r="C41" s="3" t="s">
        <v>75</v>
      </c>
    </row>
    <row r="42" spans="3:3" x14ac:dyDescent="0.3">
      <c r="C42" s="3" t="s">
        <v>76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rgb="FF00FF00"/>
  </sheetPr>
  <dimension ref="A1:E18"/>
  <sheetViews>
    <sheetView tabSelected="1" zoomScale="130" zoomScaleNormal="130" workbookViewId="0">
      <selection activeCell="B12" sqref="B12"/>
    </sheetView>
  </sheetViews>
  <sheetFormatPr defaultColWidth="9.109375" defaultRowHeight="14.4" x14ac:dyDescent="0.3"/>
  <cols>
    <col min="1" max="1" width="13" style="1" bestFit="1" customWidth="1"/>
    <col min="2" max="2" width="35.6640625" style="1" bestFit="1" customWidth="1"/>
    <col min="3" max="3" width="4" style="1" customWidth="1"/>
    <col min="4" max="4" width="11.88671875" style="1" bestFit="1" customWidth="1"/>
    <col min="5" max="5" width="43.44140625" style="1" bestFit="1" customWidth="1"/>
    <col min="6" max="6" width="14.44140625" style="1" customWidth="1"/>
    <col min="7" max="16384" width="9.109375" style="1"/>
  </cols>
  <sheetData>
    <row r="1" spans="1:5" ht="18" x14ac:dyDescent="0.35">
      <c r="A1" s="10" t="s">
        <v>184</v>
      </c>
      <c r="B1" s="11"/>
      <c r="C1" s="11"/>
      <c r="D1" s="11"/>
      <c r="E1" s="11"/>
    </row>
    <row r="2" spans="1:5" x14ac:dyDescent="0.3">
      <c r="A2" s="11"/>
      <c r="B2" s="10" t="s">
        <v>170</v>
      </c>
      <c r="C2" s="11"/>
      <c r="D2" s="11"/>
      <c r="E2" s="10" t="s">
        <v>165</v>
      </c>
    </row>
    <row r="3" spans="1:5" x14ac:dyDescent="0.3">
      <c r="A3" s="11" t="s">
        <v>236</v>
      </c>
      <c r="B3" s="11" t="str">
        <f t="shared" ref="B3:B6" si="0">REPLACE(A3,5,1,"X")</f>
        <v>5474XQE-76</v>
      </c>
      <c r="C3" s="11"/>
      <c r="D3" s="11" t="s">
        <v>249</v>
      </c>
      <c r="E3" s="11" t="str">
        <f>REPLACE(D3,8,1,"USA")</f>
        <v>7784-QHUSA87</v>
      </c>
    </row>
    <row r="4" spans="1:5" x14ac:dyDescent="0.3">
      <c r="A4" s="11" t="s">
        <v>246</v>
      </c>
      <c r="B4" s="11" t="str">
        <f t="shared" si="0"/>
        <v>7414X-WQ-28</v>
      </c>
      <c r="C4" s="11"/>
      <c r="D4" s="11" t="s">
        <v>241</v>
      </c>
      <c r="E4" s="11" t="str">
        <f t="shared" ref="E4:E6" si="1">REPLACE(D4,8,1,"USA")</f>
        <v>6024-KNUSA27</v>
      </c>
    </row>
    <row r="5" spans="1:5" x14ac:dyDescent="0.3">
      <c r="A5" s="11" t="s">
        <v>237</v>
      </c>
      <c r="B5" s="11" t="str">
        <f t="shared" si="0"/>
        <v>2675XED-24</v>
      </c>
      <c r="C5" s="11"/>
      <c r="D5" s="11" t="s">
        <v>245</v>
      </c>
      <c r="E5" s="11" t="str">
        <f t="shared" si="1"/>
        <v>1267-DJUSA54</v>
      </c>
    </row>
    <row r="6" spans="1:5" x14ac:dyDescent="0.3">
      <c r="A6" s="11" t="s">
        <v>238</v>
      </c>
      <c r="B6" s="11" t="str">
        <f t="shared" si="0"/>
        <v>5477XFG-41</v>
      </c>
      <c r="C6" s="11"/>
      <c r="D6" s="11" t="s">
        <v>243</v>
      </c>
      <c r="E6" s="11" t="str">
        <f t="shared" si="1"/>
        <v>4457-SXUSA24</v>
      </c>
    </row>
    <row r="8" spans="1:5" ht="18" x14ac:dyDescent="0.35">
      <c r="A8" s="8" t="s">
        <v>183</v>
      </c>
      <c r="B8" s="9"/>
      <c r="C8" s="9"/>
      <c r="D8" s="9"/>
      <c r="E8" s="9"/>
    </row>
    <row r="9" spans="1:5" x14ac:dyDescent="0.3">
      <c r="A9" s="9"/>
      <c r="B9" s="8" t="s">
        <v>167</v>
      </c>
      <c r="C9" s="9"/>
      <c r="D9" s="9"/>
      <c r="E9" s="8" t="s">
        <v>155</v>
      </c>
    </row>
    <row r="10" spans="1:5" x14ac:dyDescent="0.3">
      <c r="A10" s="12" t="s">
        <v>239</v>
      </c>
      <c r="B10" s="14" t="str">
        <f>SUBSTITUTE(A10,"-",2)</f>
        <v>5442QE276</v>
      </c>
      <c r="C10" s="9"/>
      <c r="D10" s="9" t="s">
        <v>248</v>
      </c>
      <c r="E10" s="9" t="str">
        <f>SUBSTITUTE(D10,"-","XXX",2)</f>
        <v>784-QHXXX87</v>
      </c>
    </row>
    <row r="11" spans="1:5" x14ac:dyDescent="0.3">
      <c r="A11" s="12" t="s">
        <v>247</v>
      </c>
      <c r="B11" s="14" t="str">
        <f t="shared" ref="B11:B13" si="2">SUBSTITUTE(A11,"-",2)</f>
        <v>74102WQ228</v>
      </c>
      <c r="C11" s="9"/>
      <c r="D11" s="9" t="s">
        <v>241</v>
      </c>
      <c r="E11" s="9" t="str">
        <f t="shared" ref="E11:E13" si="3">SUBSTITUTE(D11,"-","XXX",2)</f>
        <v>6024-KNXXX27</v>
      </c>
    </row>
    <row r="12" spans="1:5" x14ac:dyDescent="0.3">
      <c r="A12" s="12" t="s">
        <v>240</v>
      </c>
      <c r="B12" s="14" t="str">
        <f t="shared" si="2"/>
        <v>252ED224</v>
      </c>
      <c r="C12" s="9"/>
      <c r="D12" s="9" t="s">
        <v>242</v>
      </c>
      <c r="E12" s="9" t="str">
        <f t="shared" si="3"/>
        <v>7-DJXXX54-AB</v>
      </c>
    </row>
    <row r="13" spans="1:5" x14ac:dyDescent="0.3">
      <c r="A13" s="12" t="s">
        <v>238</v>
      </c>
      <c r="B13" s="14" t="str">
        <f t="shared" si="2"/>
        <v>54772FG241</v>
      </c>
      <c r="C13" s="9"/>
      <c r="D13" s="9" t="s">
        <v>243</v>
      </c>
      <c r="E13" s="9" t="str">
        <f t="shared" si="3"/>
        <v>4457-SXXXX24</v>
      </c>
    </row>
    <row r="14" spans="1:5" x14ac:dyDescent="0.3">
      <c r="A14" s="9"/>
      <c r="B14" s="8" t="s">
        <v>168</v>
      </c>
      <c r="C14" s="9"/>
      <c r="D14" s="9"/>
      <c r="E14" s="8" t="s">
        <v>169</v>
      </c>
    </row>
    <row r="15" spans="1:5" x14ac:dyDescent="0.3">
      <c r="A15" s="9" t="s">
        <v>239</v>
      </c>
      <c r="B15" s="9" t="str">
        <f>SUBSTITUTE(A15,"-","",1)</f>
        <v>544QE-76</v>
      </c>
      <c r="C15" s="9"/>
      <c r="D15" s="9" t="s">
        <v>239</v>
      </c>
      <c r="E15" s="9" t="str">
        <f>SUBSTITUTE(D15,"-","_")</f>
        <v>544_QE_76</v>
      </c>
    </row>
    <row r="16" spans="1:5" x14ac:dyDescent="0.3">
      <c r="A16" s="9" t="s">
        <v>247</v>
      </c>
      <c r="B16" s="9" t="str">
        <f t="shared" ref="B16:B18" si="4">SUBSTITUTE(A16,"-","",1)</f>
        <v>7410WQ-28</v>
      </c>
      <c r="C16" s="9"/>
      <c r="D16" s="9" t="s">
        <v>247</v>
      </c>
      <c r="E16" s="9" t="str">
        <f t="shared" ref="E16:E18" si="5">SUBSTITUTE(D16,"-","_")</f>
        <v>7410_WQ_28</v>
      </c>
    </row>
    <row r="17" spans="1:5" x14ac:dyDescent="0.3">
      <c r="A17" s="9" t="s">
        <v>240</v>
      </c>
      <c r="B17" s="9" t="str">
        <f t="shared" si="4"/>
        <v>25ED-24</v>
      </c>
      <c r="C17" s="9"/>
      <c r="D17" s="9" t="s">
        <v>244</v>
      </c>
      <c r="E17" s="9" t="str">
        <f t="shared" si="5"/>
        <v>25_ED_2_4</v>
      </c>
    </row>
    <row r="18" spans="1:5" x14ac:dyDescent="0.3">
      <c r="A18" s="9" t="s">
        <v>238</v>
      </c>
      <c r="B18" s="9" t="str">
        <f t="shared" si="4"/>
        <v>5477FG-41</v>
      </c>
      <c r="C18" s="9"/>
      <c r="D18" s="9" t="s">
        <v>238</v>
      </c>
      <c r="E18" s="9" t="str">
        <f t="shared" si="5"/>
        <v>5477_FG_41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FIND SEARCH MID</vt:lpstr>
      <vt:lpstr>LEFT RIGHT</vt:lpstr>
      <vt:lpstr>TRIM</vt:lpstr>
      <vt:lpstr>CONCATENATE</vt:lpstr>
      <vt:lpstr>UPPER LOWER PROPER</vt:lpstr>
      <vt:lpstr>REPLACE SUBSTITUTE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Taylor</dc:creator>
  <cp:lastModifiedBy>aysha fina</cp:lastModifiedBy>
  <dcterms:created xsi:type="dcterms:W3CDTF">2009-11-04T06:18:31Z</dcterms:created>
  <dcterms:modified xsi:type="dcterms:W3CDTF">2026-06-02T04:39:46Z</dcterms:modified>
</cp:coreProperties>
</file>