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CC6B77D-4310-41EA-90A4-14A68143B55A}" xr6:coauthVersionLast="47" xr6:coauthVersionMax="47" xr10:uidLastSave="{00000000-0000-0000-0000-000000000000}"/>
  <bookViews>
    <workbookView xWindow="-108" yWindow="-108" windowWidth="23256" windowHeight="12456" firstSheet="4" activeTab="7" xr2:uid="{E26DA161-7B1B-4806-9AFA-9FEECE1432F2}"/>
  </bookViews>
  <sheets>
    <sheet name="Relative &amp; Absolute Cell Refere" sheetId="1" r:id="rId1"/>
    <sheet name="Data Manipulation" sheetId="3" r:id="rId2"/>
    <sheet name="Text To Column " sheetId="4" r:id="rId3"/>
    <sheet name="Sheet1" sheetId="29" r:id="rId4"/>
    <sheet name="Remove  Duplicates1" sheetId="7" r:id="rId5"/>
    <sheet name="Remove duplicates" sheetId="8" r:id="rId6"/>
    <sheet name="Wildcard" sheetId="6" r:id="rId7"/>
    <sheet name="Custom list" sheetId="28" r:id="rId8"/>
    <sheet name="Sorting1" sheetId="12" r:id="rId9"/>
    <sheet name="Sorting " sheetId="11" r:id="rId10"/>
    <sheet name="Sheet1 (3)" sheetId="26" r:id="rId11"/>
    <sheet name="Flash Fill" sheetId="22" r:id="rId12"/>
  </sheets>
  <definedNames>
    <definedName name="ExternalData_1" localSheetId="10" hidden="1">'Sheet1 (3)'!$A$1:$L$1429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6" l="1"/>
  <c r="G22" i="6"/>
  <c r="F24" i="6"/>
  <c r="F6" i="6"/>
  <c r="E6" i="6"/>
  <c r="E5" i="6"/>
  <c r="E8" i="6"/>
  <c r="L5" i="8"/>
  <c r="L6" i="8"/>
  <c r="L7" i="8"/>
  <c r="L8" i="8"/>
  <c r="L9" i="8"/>
  <c r="L4" i="8"/>
  <c r="K4" i="8" a="1"/>
  <c r="K4" i="8" s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2" i="8"/>
  <c r="G9" i="8"/>
  <c r="G10" i="8"/>
  <c r="G11" i="8"/>
  <c r="G14" i="8"/>
  <c r="G15" i="8"/>
  <c r="G16" i="8"/>
  <c r="G19" i="8"/>
  <c r="G20" i="8"/>
  <c r="G21" i="8"/>
  <c r="G22" i="8"/>
  <c r="G24" i="8"/>
  <c r="G25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2" i="8"/>
  <c r="G3" i="8"/>
  <c r="G4" i="8"/>
  <c r="G5" i="8"/>
  <c r="G6" i="8"/>
  <c r="G7" i="8"/>
  <c r="G8" i="8"/>
  <c r="G12" i="8"/>
  <c r="G13" i="8"/>
  <c r="G17" i="8"/>
  <c r="G18" i="8"/>
  <c r="G23" i="8"/>
  <c r="G26" i="8"/>
  <c r="G12" i="1"/>
  <c r="I14" i="1"/>
  <c r="I13" i="1"/>
  <c r="G13" i="1"/>
  <c r="H13" i="1"/>
  <c r="J13" i="1"/>
  <c r="G14" i="1"/>
  <c r="H14" i="1"/>
  <c r="J14" i="1"/>
  <c r="H12" i="1"/>
  <c r="I12" i="1"/>
  <c r="J12" i="1"/>
  <c r="H2" i="1"/>
  <c r="H4" i="1"/>
  <c r="H3" i="1"/>
  <c r="G5" i="1"/>
  <c r="G3" i="1"/>
  <c r="G4" i="1"/>
  <c r="G2" i="1"/>
  <c r="B3" i="11"/>
  <c r="B4" i="11"/>
  <c r="B5" i="11"/>
  <c r="B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B97BA8-219E-4F55-89D4-35921EA04DB9}" keepAlive="1" name="Query - _2020_Summer_Olympics_medal_table_35" description="Connection to the '_2020_Summer_Olympics_medal_table_35' query in the workbook." type="5" refreshedVersion="8" background="1" saveData="1">
    <dbPr connection="Provider=Microsoft.Mashup.OleDb.1;Data Source=$Workbook$;Location=_2020_Summer_Olympics_medal_table_35;Extended Properties=&quot;&quot;" command="SELECT * FROM [_2020_Summer_Olympics_medal_table_35]"/>
  </connection>
  <connection id="2" xr16:uid="{9B53C0AF-B95F-4537-9548-AF6391B3A64F}" keepAlive="1" name="Query - _2020_Summer_Olympics_medal_table_35___2" description="Connection to the '_2020_Summer_Olympics_medal_table_35___2' query in the workbook." type="5" refreshedVersion="8" background="1" saveData="1">
    <dbPr connection="Provider=Microsoft.Mashup.OleDb.1;Data Source=$Workbook$;Location=_2020_Summer_Olympics_medal_table_35___2;Extended Properties=&quot;&quot;" command="SELECT * FROM [_2020_Summer_Olympics_medal_table_35___2]"/>
  </connection>
  <connection id="3" xr16:uid="{3EE65010-BCB4-438C-958C-F6FFF384A2C4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  <connection id="4" xr16:uid="{B034EA63-8AFD-4C58-9161-7D126F5DC57B}" keepAlive="1" name="Query - 2020 Summer Olympics medal table[35] (2)" description="Connection to the '2020 Summer Olympics medal table[35] (2)' query in the workbook." type="5" refreshedVersion="8" background="1" saveData="1">
    <dbPr connection="Provider=Microsoft.Mashup.OleDb.1;Data Source=$Workbook$;Location=&quot;2020 Summer Olympics medal table[35] (2)&quot;;Extended Properties=&quot;&quot;" command="SELECT * FROM [2020 Summer Olympics medal table[35]] (2)]"/>
  </connection>
  <connection id="5" xr16:uid="{68CFB1B7-E642-480C-9409-51490E50D121}" keepAlive="1" name="Query - Full data" description="Connection to the 'Full data' query in the workbook." type="5" refreshedVersion="8" background="1" saveData="1">
    <dbPr connection="Provider=Microsoft.Mashup.OleDb.1;Data Source=$Workbook$;Location=&quot;Full data&quot;;Extended Properties=&quot;&quot;" command="SELECT * FROM [Full data]"/>
  </connection>
  <connection id="6" xr16:uid="{C38C4D62-70EA-4DA5-B3E0-563DE420BD5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7" xr16:uid="{5C1BFA09-D877-44F7-9F35-BA7EB0A3D670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8" xr16:uid="{2250DA2C-B575-4908-B29E-7B1D0E8635D9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9" xr16:uid="{93A8EF6B-1CE5-4FF7-BFAC-4514DAE23CE9}" keepAlive="1" name="Query - Sheet2 (2)" description="Connection to the 'Sheet2 (2)' query in the workbook." type="5" refreshedVersion="8" background="1" saveData="1">
    <dbPr connection="Provider=Microsoft.Mashup.OleDb.1;Data Source=$Workbook$;Location=&quot;Sheet2 (2)&quot;;Extended Properties=&quot;&quot;" command="SELECT * FROM [Sheet2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<sst xmlns="http://schemas.openxmlformats.org/spreadsheetml/2006/main" count="13640" uniqueCount="1963">
  <si>
    <t>INV DATE</t>
  </si>
  <si>
    <t>SALES MAN</t>
  </si>
  <si>
    <t>Q1</t>
  </si>
  <si>
    <t>Q2</t>
  </si>
  <si>
    <t>Q3</t>
  </si>
  <si>
    <t>Q4</t>
  </si>
  <si>
    <t>TOTAL</t>
  </si>
  <si>
    <t>AMAR</t>
  </si>
  <si>
    <t>AQBAR</t>
  </si>
  <si>
    <t>ANTONY</t>
  </si>
  <si>
    <t>Total Amount</t>
  </si>
  <si>
    <t>sales %</t>
  </si>
  <si>
    <t>$G$5</t>
  </si>
  <si>
    <t>Locked both column and Row</t>
  </si>
  <si>
    <t>G$5</t>
  </si>
  <si>
    <t>Locked Only Row</t>
  </si>
  <si>
    <t>$G5</t>
  </si>
  <si>
    <t>Locked only Column</t>
  </si>
  <si>
    <t>🧩 1. Importing Data</t>
  </si>
  <si>
    <r>
      <t xml:space="preserve">✂️ </t>
    </r>
    <r>
      <rPr>
        <b/>
        <sz val="11"/>
        <color theme="1"/>
        <rFont val="Aptos Narrow"/>
        <family val="2"/>
        <scheme val="minor"/>
      </rPr>
      <t>2. Cleaning Data</t>
    </r>
  </si>
  <si>
    <r>
      <t xml:space="preserve">🧮 </t>
    </r>
    <r>
      <rPr>
        <b/>
        <sz val="11"/>
        <color theme="1"/>
        <rFont val="Aptos Narrow"/>
        <family val="2"/>
        <scheme val="minor"/>
      </rPr>
      <t>3. Sorting Data</t>
    </r>
  </si>
  <si>
    <r>
      <t xml:space="preserve">🔍 </t>
    </r>
    <r>
      <rPr>
        <b/>
        <sz val="11"/>
        <color theme="1"/>
        <rFont val="Aptos Narrow"/>
        <family val="2"/>
        <scheme val="minor"/>
      </rPr>
      <t>4. Filtering Data</t>
    </r>
  </si>
  <si>
    <r>
      <t xml:space="preserve">🧱 </t>
    </r>
    <r>
      <rPr>
        <b/>
        <sz val="11"/>
        <color theme="1"/>
        <rFont val="Aptos Narrow"/>
        <family val="2"/>
        <scheme val="minor"/>
      </rPr>
      <t>5. Using Formulas</t>
    </r>
  </si>
  <si>
    <r>
      <t xml:space="preserve">📊 </t>
    </r>
    <r>
      <rPr>
        <b/>
        <sz val="11"/>
        <color theme="1"/>
        <rFont val="Aptos Narrow"/>
        <family val="2"/>
        <scheme val="minor"/>
      </rPr>
      <t>6. Data Validation</t>
    </r>
  </si>
  <si>
    <r>
      <t xml:space="preserve">🧼 </t>
    </r>
    <r>
      <rPr>
        <b/>
        <sz val="11"/>
        <color theme="1"/>
        <rFont val="Aptos Narrow"/>
        <family val="2"/>
        <scheme val="minor"/>
      </rPr>
      <t>7. Text to Columns</t>
    </r>
  </si>
  <si>
    <r>
      <t xml:space="preserve">🧰 </t>
    </r>
    <r>
      <rPr>
        <b/>
        <sz val="11"/>
        <color theme="1"/>
        <rFont val="Aptos Narrow"/>
        <family val="2"/>
        <scheme val="minor"/>
      </rPr>
      <t>8. Using Power Query (for large data)</t>
    </r>
  </si>
  <si>
    <r>
      <t xml:space="preserve">🧾 </t>
    </r>
    <r>
      <rPr>
        <b/>
        <sz val="11"/>
        <color theme="1"/>
        <rFont val="Aptos Narrow"/>
        <family val="2"/>
        <scheme val="minor"/>
      </rPr>
      <t>9. Formatting</t>
    </r>
  </si>
  <si>
    <r>
      <t xml:space="preserve">📈 </t>
    </r>
    <r>
      <rPr>
        <b/>
        <sz val="11"/>
        <color theme="1"/>
        <rFont val="Aptos Narrow"/>
        <family val="2"/>
        <scheme val="minor"/>
      </rPr>
      <t>10. Summarizing Data</t>
    </r>
  </si>
  <si>
    <t>FULL NAME</t>
  </si>
  <si>
    <t>Name</t>
  </si>
  <si>
    <t>John Smith</t>
  </si>
  <si>
    <t>Mary Johnson</t>
  </si>
  <si>
    <t>Akash Murali</t>
  </si>
  <si>
    <t>Shyam lal</t>
  </si>
  <si>
    <t>Shyam</t>
  </si>
  <si>
    <t>Data</t>
  </si>
  <si>
    <t>Arun|21|male</t>
  </si>
  <si>
    <t>John|25|Male</t>
  </si>
  <si>
    <t>Mary|30|Female</t>
  </si>
  <si>
    <t>Lal|25|Male</t>
  </si>
  <si>
    <t>Shyam|34|Male</t>
  </si>
  <si>
    <t>Address</t>
  </si>
  <si>
    <t>123 Main St, Mumbai, India</t>
  </si>
  <si>
    <t>45 Park Rd, Delhi, India</t>
  </si>
  <si>
    <t>street</t>
  </si>
  <si>
    <t>city</t>
  </si>
  <si>
    <t>Country</t>
  </si>
  <si>
    <t>Date</t>
  </si>
  <si>
    <t>Day</t>
  </si>
  <si>
    <t>Month</t>
  </si>
  <si>
    <t>Year</t>
  </si>
  <si>
    <t>Age</t>
  </si>
  <si>
    <t>Gender</t>
  </si>
  <si>
    <t>SUBJECT</t>
  </si>
  <si>
    <t>MARK</t>
  </si>
  <si>
    <t>Geography</t>
  </si>
  <si>
    <t>Maths</t>
  </si>
  <si>
    <t>Science</t>
  </si>
  <si>
    <t>Physics</t>
  </si>
  <si>
    <t>History</t>
  </si>
  <si>
    <t>Chemistry</t>
  </si>
  <si>
    <t>English</t>
  </si>
  <si>
    <t>starting with A</t>
  </si>
  <si>
    <t>A contains</t>
  </si>
  <si>
    <t>FIRST NAME</t>
  </si>
  <si>
    <t>LAST  NAME</t>
  </si>
  <si>
    <t>Ananya</t>
  </si>
  <si>
    <t>Varun</t>
  </si>
  <si>
    <t>Meera</t>
  </si>
  <si>
    <t>Rahul</t>
  </si>
  <si>
    <t>Kiran</t>
  </si>
  <si>
    <t>Amal</t>
  </si>
  <si>
    <t>ananya@example.com</t>
  </si>
  <si>
    <t>HR</t>
  </si>
  <si>
    <t>varun@example.com</t>
  </si>
  <si>
    <t>Finance</t>
  </si>
  <si>
    <t>meera@example.com</t>
  </si>
  <si>
    <t>IT</t>
  </si>
  <si>
    <t>rahul@example.com</t>
  </si>
  <si>
    <t>Marketing</t>
  </si>
  <si>
    <t>kiran@example.com</t>
  </si>
  <si>
    <t>amal@example.com</t>
  </si>
  <si>
    <t>EmployeeID</t>
  </si>
  <si>
    <t>Email</t>
  </si>
  <si>
    <t>Department</t>
  </si>
  <si>
    <t>Phone</t>
  </si>
  <si>
    <t>City</t>
  </si>
  <si>
    <t>Aarav N</t>
  </si>
  <si>
    <t>aarav.n@example.com</t>
  </si>
  <si>
    <t>Bangalore</t>
  </si>
  <si>
    <t>Diya S</t>
  </si>
  <si>
    <t>diya.s@example.com</t>
  </si>
  <si>
    <t>Chennai</t>
  </si>
  <si>
    <t>Kiran M</t>
  </si>
  <si>
    <t>kiran.m@example.com</t>
  </si>
  <si>
    <t>Delhi</t>
  </si>
  <si>
    <t>Meera K</t>
  </si>
  <si>
    <t>meera.k@example.com</t>
  </si>
  <si>
    <t>Rahul P</t>
  </si>
  <si>
    <t>rahul.p@example.com</t>
  </si>
  <si>
    <t>Mumbai</t>
  </si>
  <si>
    <t>Asha T</t>
  </si>
  <si>
    <t>asha.t@example.com</t>
  </si>
  <si>
    <t>Arjun L</t>
  </si>
  <si>
    <t>arjun.l@example.com</t>
  </si>
  <si>
    <t>Neha R</t>
  </si>
  <si>
    <t>neha.r@example.com</t>
  </si>
  <si>
    <t>Pune</t>
  </si>
  <si>
    <t>Sajan P</t>
  </si>
  <si>
    <t>sajan.p@example.com</t>
  </si>
  <si>
    <t>Zara Q</t>
  </si>
  <si>
    <t>zara.q@example.com</t>
  </si>
  <si>
    <t>Aman J</t>
  </si>
  <si>
    <t>aman.j@example.com</t>
  </si>
  <si>
    <t>Vinod D</t>
  </si>
  <si>
    <t>vinod.d@example.com</t>
  </si>
  <si>
    <t>Sonia M</t>
  </si>
  <si>
    <t>sonia.m@example.com</t>
  </si>
  <si>
    <r>
      <t xml:space="preserve">Remove duplicate employees based on </t>
    </r>
    <r>
      <rPr>
        <b/>
        <sz val="11"/>
        <color theme="1"/>
        <rFont val="Aptos Narrow"/>
        <family val="2"/>
        <scheme val="minor"/>
      </rPr>
      <t>Email</t>
    </r>
    <r>
      <rPr>
        <sz val="11"/>
        <color theme="1"/>
        <rFont val="Aptos Narrow"/>
        <family val="2"/>
        <scheme val="minor"/>
      </rPr>
      <t xml:space="preserve"> only.</t>
    </r>
  </si>
  <si>
    <t>How many unique employees remain?</t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</si>
  <si>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Name + Department</t>
    </r>
    <r>
      <rPr>
        <sz val="11"/>
        <color theme="1"/>
        <rFont val="Aptos Narrow"/>
        <family val="2"/>
        <scheme val="minor"/>
      </rPr>
      <t>.</t>
    </r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</si>
  <si>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Phone</t>
    </r>
    <r>
      <rPr>
        <sz val="11"/>
        <color theme="1"/>
        <rFont val="Aptos Narrow"/>
        <family val="2"/>
        <scheme val="minor"/>
      </rPr>
      <t xml:space="preserve"> only.</t>
    </r>
  </si>
  <si>
    <t>Are there any employees with the same name but different phone numbers?</t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</si>
  <si>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only.</t>
    </r>
  </si>
  <si>
    <t>How many unique cities remain?</t>
  </si>
  <si>
    <r>
      <t xml:space="preserve">Use </t>
    </r>
    <r>
      <rPr>
        <b/>
        <sz val="11"/>
        <color theme="1"/>
        <rFont val="Aptos Narrow"/>
        <family val="2"/>
        <scheme val="minor"/>
      </rPr>
      <t>EmployeeID</t>
    </r>
    <r>
      <rPr>
        <sz val="11"/>
        <color theme="1"/>
        <rFont val="Aptos Narrow"/>
        <family val="2"/>
        <scheme val="minor"/>
      </rPr>
      <t xml:space="preserve"> to remove duplicates.</t>
    </r>
  </si>
  <si>
    <t>Does EmployeeID remove any duplicate rows?</t>
  </si>
  <si>
    <r>
      <t xml:space="preserve">Remove duplicates based on </t>
    </r>
    <r>
      <rPr>
        <b/>
        <sz val="11"/>
        <color theme="1"/>
        <rFont val="Aptos Narrow"/>
        <family val="2"/>
        <scheme val="minor"/>
      </rPr>
      <t>Name, Email, and Phone</t>
    </r>
    <r>
      <rPr>
        <sz val="11"/>
        <color theme="1"/>
        <rFont val="Aptos Narrow"/>
        <family val="2"/>
        <scheme val="minor"/>
      </rPr>
      <t xml:space="preserve"> (all three).</t>
    </r>
  </si>
  <si>
    <t>How many rows get removed?</t>
  </si>
  <si>
    <r>
      <t xml:space="preserve">Remove duplicates based on </t>
    </r>
    <r>
      <rPr>
        <b/>
        <sz val="11"/>
        <color theme="1"/>
        <rFont val="Aptos Narrow"/>
        <family val="2"/>
        <scheme val="minor"/>
      </rPr>
      <t>Department + City</t>
    </r>
    <r>
      <rPr>
        <sz val="11"/>
        <color theme="1"/>
        <rFont val="Aptos Narrow"/>
        <family val="2"/>
        <scheme val="minor"/>
      </rPr>
      <t>.</t>
    </r>
  </si>
  <si>
    <t>Which city–department combination appears the most?</t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</si>
  <si>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only.</t>
    </r>
  </si>
  <si>
    <t>How many repeated names exist?</t>
  </si>
  <si>
    <r>
      <t xml:space="preserve">Remove duplicates using </t>
    </r>
    <r>
      <rPr>
        <b/>
        <sz val="11"/>
        <color theme="1"/>
        <rFont val="Aptos Narrow"/>
        <family val="2"/>
        <scheme val="minor"/>
      </rPr>
      <t>All Columns (full row match)</t>
    </r>
    <r>
      <rPr>
        <sz val="11"/>
        <color theme="1"/>
        <rFont val="Aptos Narrow"/>
        <family val="2"/>
        <scheme val="minor"/>
      </rPr>
      <t>.</t>
    </r>
  </si>
  <si>
    <t>How many completely identical rows were present?</t>
  </si>
  <si>
    <r>
      <t xml:space="preserve">Create a helper column </t>
    </r>
    <r>
      <rPr>
        <sz val="10"/>
        <color theme="1"/>
        <rFont val="Arial Unicode MS"/>
        <family val="2"/>
      </rPr>
      <t>FullNameDept = Name &amp; "-" &amp; Department</t>
    </r>
    <r>
      <rPr>
        <sz val="11"/>
        <color theme="1"/>
        <rFont val="Aptos Narrow"/>
        <family val="2"/>
        <scheme val="minor"/>
      </rPr>
      <t>.</t>
    </r>
  </si>
  <si>
    <t>Then remove duplicates using this new column.</t>
  </si>
  <si>
    <t>How many unique combinations do you get?</t>
  </si>
  <si>
    <t>Category</t>
  </si>
  <si>
    <t>Quantity</t>
  </si>
  <si>
    <t>Region</t>
  </si>
  <si>
    <t>Laptop</t>
  </si>
  <si>
    <t>Electronics</t>
  </si>
  <si>
    <t>North</t>
  </si>
  <si>
    <t>Mobile</t>
  </si>
  <si>
    <t>South</t>
  </si>
  <si>
    <t>Tablet</t>
  </si>
  <si>
    <t>East</t>
  </si>
  <si>
    <t>Headphones</t>
  </si>
  <si>
    <t>Accessories</t>
  </si>
  <si>
    <t>West</t>
  </si>
  <si>
    <t>Smartwatch</t>
  </si>
  <si>
    <t>Charger</t>
  </si>
  <si>
    <t>Camera</t>
  </si>
  <si>
    <t>8. Clean a column with extra spaces using Text to Columns Fixed Width.</t>
  </si>
  <si>
    <t>Amit</t>
  </si>
  <si>
    <t>Sneha</t>
  </si>
  <si>
    <t>remove duplicates from a list of employees</t>
  </si>
  <si>
    <t>Sales</t>
  </si>
  <si>
    <t>Asha</t>
  </si>
  <si>
    <t>Niyas</t>
  </si>
  <si>
    <t>Sort by Sales (Largest → Smallest)</t>
  </si>
  <si>
    <t>Sort by Date (Newest → Oldest)</t>
  </si>
  <si>
    <t>Sort by Region (A → Z)</t>
  </si>
  <si>
    <t>Numbers</t>
  </si>
  <si>
    <t>Text</t>
  </si>
  <si>
    <t>SORT</t>
  </si>
  <si>
    <t>Dates</t>
  </si>
  <si>
    <t>MultiColumn Sorting</t>
  </si>
  <si>
    <t>Color Sorting</t>
  </si>
  <si>
    <t>Smallest to largest</t>
  </si>
  <si>
    <t>Time(mins)</t>
  </si>
  <si>
    <t>Sales Done</t>
  </si>
  <si>
    <t>Sales Man</t>
  </si>
  <si>
    <t>Aman</t>
  </si>
  <si>
    <t>Shan</t>
  </si>
  <si>
    <t>Lal</t>
  </si>
  <si>
    <t>Vekha</t>
  </si>
  <si>
    <t>Oldest To Newest</t>
  </si>
  <si>
    <t>Largest To Smallest</t>
  </si>
  <si>
    <t>Whole Records Is Sorted</t>
  </si>
  <si>
    <t>Sort By Color</t>
  </si>
  <si>
    <t>Sort By Font Clr</t>
  </si>
  <si>
    <t>Ending  with A</t>
  </si>
  <si>
    <t>Smith</t>
  </si>
  <si>
    <t>Arun</t>
  </si>
  <si>
    <t>TEXTJOIN</t>
  </si>
  <si>
    <t>%,_</t>
  </si>
  <si>
    <t>Apple</t>
  </si>
  <si>
    <t>Banana</t>
  </si>
  <si>
    <t>Mango</t>
  </si>
  <si>
    <t>Orange</t>
  </si>
  <si>
    <t>Grapes</t>
  </si>
  <si>
    <t>wildcards</t>
  </si>
  <si>
    <t>Feedback</t>
  </si>
  <si>
    <t>john</t>
  </si>
  <si>
    <t>smith</t>
  </si>
  <si>
    <t>good</t>
  </si>
  <si>
    <t>Product Code</t>
  </si>
  <si>
    <t>First 4 Digits</t>
  </si>
  <si>
    <t>1000-165-B12</t>
  </si>
  <si>
    <t>1000-234-A34</t>
  </si>
  <si>
    <t>1000-567-A34</t>
  </si>
  <si>
    <t>1000-400-C34</t>
  </si>
  <si>
    <t>1000-190-K34</t>
  </si>
  <si>
    <t>Last 3 Digits</t>
  </si>
  <si>
    <t>Middle 3 Digits</t>
  </si>
  <si>
    <t>Days</t>
  </si>
  <si>
    <t>First Alphabets</t>
  </si>
  <si>
    <t>Sunday</t>
  </si>
  <si>
    <t>Monday</t>
  </si>
  <si>
    <t>Tuesday</t>
  </si>
  <si>
    <t>Wednesday</t>
  </si>
  <si>
    <t>Thursday</t>
  </si>
  <si>
    <t>Friday</t>
  </si>
  <si>
    <t>Saturday</t>
  </si>
  <si>
    <t>First Two Alphabets</t>
  </si>
  <si>
    <t>Last 2 Alphabets</t>
  </si>
  <si>
    <t>First</t>
  </si>
  <si>
    <t>Last</t>
  </si>
  <si>
    <t>Full</t>
  </si>
  <si>
    <t>Jhon</t>
  </si>
  <si>
    <t>Dev</t>
  </si>
  <si>
    <t>Krish</t>
  </si>
  <si>
    <t>Jack</t>
  </si>
  <si>
    <t>Lon</t>
  </si>
  <si>
    <t>Mohan</t>
  </si>
  <si>
    <t>jos</t>
  </si>
  <si>
    <t>ctrl+E</t>
  </si>
  <si>
    <t>Order ID</t>
  </si>
  <si>
    <t>first name</t>
  </si>
  <si>
    <t>last name</t>
  </si>
  <si>
    <t>Product Name</t>
  </si>
  <si>
    <t>Order Date</t>
  </si>
  <si>
    <t>Sales Category</t>
  </si>
  <si>
    <t>ORD1000</t>
  </si>
  <si>
    <t>arun</t>
  </si>
  <si>
    <t>no last name</t>
  </si>
  <si>
    <t>missing</t>
  </si>
  <si>
    <t>nomissingfeedback</t>
  </si>
  <si>
    <t>Medium</t>
  </si>
  <si>
    <t>ORD1001</t>
  </si>
  <si>
    <t>delhi</t>
  </si>
  <si>
    <t>High Amount</t>
  </si>
  <si>
    <t>ORD1003</t>
  </si>
  <si>
    <t>rohit</t>
  </si>
  <si>
    <t>ORD1004</t>
  </si>
  <si>
    <t>JAMES</t>
  </si>
  <si>
    <t>east</t>
  </si>
  <si>
    <t>Good</t>
  </si>
  <si>
    <t>ORD1005</t>
  </si>
  <si>
    <t>anjali</t>
  </si>
  <si>
    <t>accessories</t>
  </si>
  <si>
    <t>Bad</t>
  </si>
  <si>
    <t>ORD1006</t>
  </si>
  <si>
    <t>rahul</t>
  </si>
  <si>
    <t>Gadgets</t>
  </si>
  <si>
    <t>mumbai</t>
  </si>
  <si>
    <t>Below avg</t>
  </si>
  <si>
    <t>ORD1007</t>
  </si>
  <si>
    <t>electronics</t>
  </si>
  <si>
    <t>ORD1008</t>
  </si>
  <si>
    <t>neha</t>
  </si>
  <si>
    <t xml:space="preserve"> rao</t>
  </si>
  <si>
    <t>Average</t>
  </si>
  <si>
    <t>ORD1009</t>
  </si>
  <si>
    <t>Kolkata</t>
  </si>
  <si>
    <t>ORD1010</t>
  </si>
  <si>
    <t>ali</t>
  </si>
  <si>
    <t>khan</t>
  </si>
  <si>
    <t>ORD1012</t>
  </si>
  <si>
    <t>ORD1014</t>
  </si>
  <si>
    <t>ORD1016</t>
  </si>
  <si>
    <t>sneha</t>
  </si>
  <si>
    <t>ORD1017</t>
  </si>
  <si>
    <t>MARY</t>
  </si>
  <si>
    <t>jones</t>
  </si>
  <si>
    <t>ORD1020</t>
  </si>
  <si>
    <t>ORD1021</t>
  </si>
  <si>
    <t>ORD1022</t>
  </si>
  <si>
    <t>ORD1023</t>
  </si>
  <si>
    <t>ORD1024</t>
  </si>
  <si>
    <t>ORD1026</t>
  </si>
  <si>
    <t>ORD1029</t>
  </si>
  <si>
    <t>ORD1030</t>
  </si>
  <si>
    <t>ORD1032</t>
  </si>
  <si>
    <t>ORD1033</t>
  </si>
  <si>
    <t>ORD1034</t>
  </si>
  <si>
    <t>ORD1035</t>
  </si>
  <si>
    <t>ORD1036</t>
  </si>
  <si>
    <t>ORD1037</t>
  </si>
  <si>
    <t>bangalore</t>
  </si>
  <si>
    <t>ord1038</t>
  </si>
  <si>
    <t>ORD1039</t>
  </si>
  <si>
    <t>ORD1040</t>
  </si>
  <si>
    <t>ORD1041</t>
  </si>
  <si>
    <t>ORD1043</t>
  </si>
  <si>
    <t>ORD1044</t>
  </si>
  <si>
    <t>ORD1045</t>
  </si>
  <si>
    <t>ORD1047</t>
  </si>
  <si>
    <t>ORD1048</t>
  </si>
  <si>
    <t>ORD1049</t>
  </si>
  <si>
    <t>Low</t>
  </si>
  <si>
    <t>ORD1050</t>
  </si>
  <si>
    <t>ORD1052</t>
  </si>
  <si>
    <t>ORD1054</t>
  </si>
  <si>
    <t>ORD1055</t>
  </si>
  <si>
    <t>ORD1056</t>
  </si>
  <si>
    <t>ORD1057</t>
  </si>
  <si>
    <t>ORD1058</t>
  </si>
  <si>
    <t>ORD1059</t>
  </si>
  <si>
    <t>ORD1061</t>
  </si>
  <si>
    <t>ORD1063</t>
  </si>
  <si>
    <t>ORD1064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</si>
  <si>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</si>
  <si>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</si>
  <si>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</si>
  <si>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</si>
  <si>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</si>
  <si>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</si>
  <si>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</si>
  <si>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</si>
  <si>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</si>
  <si>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</si>
  <si>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</si>
  <si>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</si>
  <si>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ORD1082</t>
  </si>
  <si>
    <t>ORD1083</t>
  </si>
  <si>
    <t>ORD1084</t>
  </si>
  <si>
    <t>ORD1086</t>
  </si>
  <si>
    <t>ORD1087</t>
  </si>
  <si>
    <t>ORD1090</t>
  </si>
  <si>
    <t>ORD1091</t>
  </si>
  <si>
    <t>ORD1092</t>
  </si>
  <si>
    <t>ord1095</t>
  </si>
  <si>
    <t>ORD1096</t>
  </si>
  <si>
    <t>ORD1099</t>
  </si>
  <si>
    <t>ORD1100</t>
  </si>
  <si>
    <t>ORD1101</t>
  </si>
  <si>
    <t>ORD1102</t>
  </si>
  <si>
    <t>ORD1103</t>
  </si>
  <si>
    <t>ORD1104</t>
  </si>
  <si>
    <t>ord1105</t>
  </si>
  <si>
    <t>ORD1107</t>
  </si>
  <si>
    <t>ORD1108</t>
  </si>
  <si>
    <t>ORD1109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</si>
  <si>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</si>
  <si>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</si>
  <si>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</si>
  <si>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</si>
  <si>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</si>
  <si>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</si>
  <si>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</si>
  <si>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</si>
  <si>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ORD1120</t>
  </si>
  <si>
    <t>ORD1121</t>
  </si>
  <si>
    <t>ORD1122</t>
  </si>
  <si>
    <t>ORD1123</t>
  </si>
  <si>
    <t>ORD1124</t>
  </si>
  <si>
    <t>ORD1125</t>
  </si>
  <si>
    <t>ORD1127</t>
  </si>
  <si>
    <t>ORD1128</t>
  </si>
  <si>
    <t>ORD1129</t>
  </si>
  <si>
    <t>ORD1131</t>
  </si>
  <si>
    <t>ORD1133</t>
  </si>
  <si>
    <t>ORD1134</t>
  </si>
  <si>
    <t>ORD1136</t>
  </si>
  <si>
    <t>ORD1137</t>
  </si>
  <si>
    <t>ORD1139</t>
  </si>
  <si>
    <t>ORD1140</t>
  </si>
  <si>
    <t>ORD1143</t>
  </si>
  <si>
    <t>ORD1144</t>
  </si>
  <si>
    <t>ORD1145</t>
  </si>
  <si>
    <t>ORD1146</t>
  </si>
  <si>
    <t>ORD1147</t>
  </si>
  <si>
    <t>ORD1149</t>
  </si>
  <si>
    <t>ORD1150</t>
  </si>
  <si>
    <t>ORD1151</t>
  </si>
  <si>
    <t>ORD1152</t>
  </si>
  <si>
    <t>ORD1154</t>
  </si>
  <si>
    <t>ORD1155</t>
  </si>
  <si>
    <t>ORD1157</t>
  </si>
  <si>
    <t>ORD1158</t>
  </si>
  <si>
    <t>ORD1159</t>
  </si>
  <si>
    <t>ORD1160</t>
  </si>
  <si>
    <t>ORD1162</t>
  </si>
  <si>
    <t>ORD1164</t>
  </si>
  <si>
    <t>ORD1165</t>
  </si>
  <si>
    <t>ORD1167</t>
  </si>
  <si>
    <t>ORD1168</t>
  </si>
  <si>
    <t>ORD1171</t>
  </si>
  <si>
    <t>ORD1172</t>
  </si>
  <si>
    <t>ORD1175</t>
  </si>
  <si>
    <t>ORD1176</t>
  </si>
  <si>
    <t>ORD1178</t>
  </si>
  <si>
    <t>ORD1180</t>
  </si>
  <si>
    <t>ORD1181</t>
  </si>
  <si>
    <t>ORD1182</t>
  </si>
  <si>
    <t>ORD1183</t>
  </si>
  <si>
    <t>ORD1184</t>
  </si>
  <si>
    <t>ORD1186</t>
  </si>
  <si>
    <t>ORD1187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</si>
  <si>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</si>
  <si>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</si>
  <si>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</si>
  <si>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</si>
  <si>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</si>
  <si>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</si>
  <si>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</si>
  <si>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</si>
  <si>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ORD1198</t>
  </si>
  <si>
    <t>ORD1199</t>
  </si>
  <si>
    <t>ORD1200</t>
  </si>
  <si>
    <t>ORD1201</t>
  </si>
  <si>
    <t>ORD1203</t>
  </si>
  <si>
    <t>ORD1204</t>
  </si>
  <si>
    <t>ORD1206</t>
  </si>
  <si>
    <t>ORD1207</t>
  </si>
  <si>
    <t>ORD1208</t>
  </si>
  <si>
    <t>ORD1209</t>
  </si>
  <si>
    <t>ORD1210</t>
  </si>
  <si>
    <t>ORD1212</t>
  </si>
  <si>
    <t>ORD1214</t>
  </si>
  <si>
    <t>ORD1215</t>
  </si>
  <si>
    <t>ORD1217</t>
  </si>
  <si>
    <t>ORD1221</t>
  </si>
  <si>
    <t>ORD1223</t>
  </si>
  <si>
    <t>ord1225</t>
  </si>
  <si>
    <t>ORD1226</t>
  </si>
  <si>
    <t>ORD1227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</si>
  <si>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</si>
  <si>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</si>
  <si>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</si>
  <si>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</si>
  <si>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</si>
  <si>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</si>
  <si>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</si>
  <si>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</si>
  <si>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</si>
  <si>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</si>
  <si>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</si>
  <si>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</si>
  <si>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ORD1243</t>
  </si>
  <si>
    <t>ORD1244</t>
  </si>
  <si>
    <t>ORD1245</t>
  </si>
  <si>
    <t>ORD1247</t>
  </si>
  <si>
    <t>ORD1248</t>
  </si>
  <si>
    <t>ORD1249</t>
  </si>
  <si>
    <t>ORD1250</t>
  </si>
  <si>
    <t>ORD1255</t>
  </si>
  <si>
    <t>ORD1258</t>
  </si>
  <si>
    <t>ORD1259</t>
  </si>
  <si>
    <t>ORD1260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</si>
  <si>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</si>
  <si>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</si>
  <si>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</si>
  <si>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</si>
  <si>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</si>
  <si>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</si>
  <si>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</si>
  <si>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</si>
  <si>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</si>
  <si>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ORD1273</t>
  </si>
  <si>
    <t>ORD1274</t>
  </si>
  <si>
    <t>ORD1275</t>
  </si>
  <si>
    <t>ORD1276</t>
  </si>
  <si>
    <t>ORD1278</t>
  </si>
  <si>
    <t>ORD1280</t>
  </si>
  <si>
    <t>ORD1283</t>
  </si>
  <si>
    <t>ORD1284</t>
  </si>
  <si>
    <t>ORD1286</t>
  </si>
  <si>
    <t>ORD1287</t>
  </si>
  <si>
    <t>ORD1288</t>
  </si>
  <si>
    <t>ORD1289</t>
  </si>
  <si>
    <t>ORD1290</t>
  </si>
  <si>
    <t>ORD1292</t>
  </si>
  <si>
    <t>ORD1293</t>
  </si>
  <si>
    <t>ORD1294</t>
  </si>
  <si>
    <t>ORD1295</t>
  </si>
  <si>
    <t>ORD1299</t>
  </si>
  <si>
    <t>ORD1300</t>
  </si>
  <si>
    <t>ORD1301</t>
  </si>
  <si>
    <t>ORD1302</t>
  </si>
  <si>
    <t>ORD1304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</si>
  <si>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</si>
  <si>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</si>
  <si>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</si>
  <si>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</si>
  <si>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</si>
  <si>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</si>
  <si>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</si>
  <si>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</si>
  <si>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ORD1318</t>
  </si>
  <si>
    <t>ORD1319</t>
  </si>
  <si>
    <t>ORD1321</t>
  </si>
  <si>
    <t>ORD1323</t>
  </si>
  <si>
    <t>ORD1327</t>
  </si>
  <si>
    <t>ORD1328</t>
  </si>
  <si>
    <t>ORD1329</t>
  </si>
  <si>
    <t>ORD1330</t>
  </si>
  <si>
    <t>ORD1331</t>
  </si>
  <si>
    <t>ORD1336</t>
  </si>
  <si>
    <t>ORD1338</t>
  </si>
  <si>
    <t>ORD1339</t>
  </si>
  <si>
    <t>ORD1341</t>
  </si>
  <si>
    <t>ORD1342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</si>
  <si>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</si>
  <si>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</si>
  <si>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</si>
  <si>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</si>
  <si>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</si>
  <si>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</si>
  <si>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</si>
  <si>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</si>
  <si>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ORD1353</t>
  </si>
  <si>
    <t>ORD1355</t>
  </si>
  <si>
    <t>ORD1356</t>
  </si>
  <si>
    <t>ORD1357</t>
  </si>
  <si>
    <t>ORD1358</t>
  </si>
  <si>
    <t>ORD1360</t>
  </si>
  <si>
    <t>ORD1364</t>
  </si>
  <si>
    <t>ORD1367</t>
  </si>
  <si>
    <t>ORD1368</t>
  </si>
  <si>
    <t>ORD1369</t>
  </si>
  <si>
    <t>ORD1370</t>
  </si>
  <si>
    <t>ORD1371</t>
  </si>
  <si>
    <t>ORD1373</t>
  </si>
  <si>
    <t>ORD1374</t>
  </si>
  <si>
    <t>ORD1376</t>
  </si>
  <si>
    <t>ORD1378</t>
  </si>
  <si>
    <t>ORD1379</t>
  </si>
  <si>
    <t>ORD1380</t>
  </si>
  <si>
    <t>ORD1384</t>
  </si>
  <si>
    <t>ORD1386</t>
  </si>
  <si>
    <t>ORD1389</t>
  </si>
  <si>
    <t>ORD1391</t>
  </si>
  <si>
    <t>ORD1392</t>
  </si>
  <si>
    <t>ORD1393</t>
  </si>
  <si>
    <t>ORD1394</t>
  </si>
  <si>
    <t>ORD1395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</si>
  <si>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</si>
  <si>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</si>
  <si>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</si>
  <si>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</si>
  <si>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</si>
  <si>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</si>
  <si>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</si>
  <si>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</si>
  <si>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</si>
  <si>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ORD1408</t>
  </si>
  <si>
    <t>ORD1409</t>
  </si>
  <si>
    <t>ORD1410</t>
  </si>
  <si>
    <t>ORD1411</t>
  </si>
  <si>
    <t>ORD1412</t>
  </si>
  <si>
    <t>ORD1413</t>
  </si>
  <si>
    <t>ORD1415</t>
  </si>
  <si>
    <t>ORD1416</t>
  </si>
  <si>
    <t>ORD1418</t>
  </si>
  <si>
    <t>ORD1419</t>
  </si>
  <si>
    <t>ORD1421</t>
  </si>
  <si>
    <t>ORD1422</t>
  </si>
  <si>
    <t>ORD1423</t>
  </si>
  <si>
    <t>ORD1425</t>
  </si>
  <si>
    <t>ORD1426</t>
  </si>
  <si>
    <t>ORD1429</t>
  </si>
  <si>
    <t>ORD1430</t>
  </si>
  <si>
    <t>ORD1431</t>
  </si>
  <si>
    <t>ORD1432</t>
  </si>
  <si>
    <t>ORD1433</t>
  </si>
  <si>
    <t>ORD1435</t>
  </si>
  <si>
    <t>ORD1436</t>
  </si>
  <si>
    <t>ORD1437</t>
  </si>
  <si>
    <t>ORD1438</t>
  </si>
  <si>
    <t>ORD1441</t>
  </si>
  <si>
    <t>ORD1442</t>
  </si>
  <si>
    <t>ORD1443</t>
  </si>
  <si>
    <t>ORD1444</t>
  </si>
  <si>
    <t>ORD1446</t>
  </si>
  <si>
    <t>ORD1447</t>
  </si>
  <si>
    <t>ORD1448</t>
  </si>
  <si>
    <t>ORD1449</t>
  </si>
  <si>
    <t>ORD1450</t>
  </si>
  <si>
    <t>ORD1451</t>
  </si>
  <si>
    <t>ORD1454</t>
  </si>
  <si>
    <t>ORD1455</t>
  </si>
  <si>
    <t>ORD1456</t>
  </si>
  <si>
    <t>ORD1457</t>
  </si>
  <si>
    <t>ORD1459</t>
  </si>
  <si>
    <t>ORD1460</t>
  </si>
  <si>
    <t>ORD1461</t>
  </si>
  <si>
    <t>ORD1462</t>
  </si>
  <si>
    <t>ORD1463</t>
  </si>
  <si>
    <t>ORD1464</t>
  </si>
  <si>
    <t>ORD1465</t>
  </si>
  <si>
    <t>ORD1467</t>
  </si>
  <si>
    <t>ORD1468</t>
  </si>
  <si>
    <t>ORD1469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</si>
  <si>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</si>
  <si>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</si>
  <si>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</si>
  <si>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</si>
  <si>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</si>
  <si>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</si>
  <si>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</si>
  <si>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</si>
  <si>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</si>
  <si>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ORD1481</t>
  </si>
  <si>
    <t>ORD1482</t>
  </si>
  <si>
    <t>ORD1484</t>
  </si>
  <si>
    <t>ORD1485</t>
  </si>
  <si>
    <t>ORD1486</t>
  </si>
  <si>
    <t>ORD1487</t>
  </si>
  <si>
    <t>ORD1489</t>
  </si>
  <si>
    <t>ORD1490</t>
  </si>
  <si>
    <t>ORD1491</t>
  </si>
  <si>
    <t>ORD1492</t>
  </si>
  <si>
    <t>ORD1495</t>
  </si>
  <si>
    <t>ORD1496</t>
  </si>
  <si>
    <t>ORD1497</t>
  </si>
  <si>
    <t>ORD1498</t>
  </si>
  <si>
    <t>ORD1499</t>
  </si>
  <si>
    <t>ORD1501</t>
  </si>
  <si>
    <t>ORD1506</t>
  </si>
  <si>
    <t>ORD1507</t>
  </si>
  <si>
    <t>ORD1508</t>
  </si>
  <si>
    <t>ORD1509</t>
  </si>
  <si>
    <t>ORD1510</t>
  </si>
  <si>
    <t>ORD1512</t>
  </si>
  <si>
    <t>ORD1513</t>
  </si>
  <si>
    <t>ORD1515</t>
  </si>
  <si>
    <t>ORD1518</t>
  </si>
  <si>
    <t>ORD1520</t>
  </si>
  <si>
    <t>ORD1522</t>
  </si>
  <si>
    <t>ORD1523</t>
  </si>
  <si>
    <t>ORD1524</t>
  </si>
  <si>
    <t>ORD1525</t>
  </si>
  <si>
    <t>ORD1526</t>
  </si>
  <si>
    <t>ORD1530</t>
  </si>
  <si>
    <t>ORD1531</t>
  </si>
  <si>
    <t>ORD1532</t>
  </si>
  <si>
    <t>ORD1533</t>
  </si>
  <si>
    <t>ORD1535</t>
  </si>
  <si>
    <t>ORD1536</t>
  </si>
  <si>
    <t>ORD1538</t>
  </si>
  <si>
    <t>ORD1539</t>
  </si>
  <si>
    <t>ORD1540</t>
  </si>
  <si>
    <t>ORD1542</t>
  </si>
  <si>
    <t>ORD1545</t>
  </si>
  <si>
    <t>ORD1546</t>
  </si>
  <si>
    <t>ORD1547</t>
  </si>
  <si>
    <t>ORD1548</t>
  </si>
  <si>
    <t>ord1550</t>
  </si>
  <si>
    <t>ORD1551</t>
  </si>
  <si>
    <t>ORD1552</t>
  </si>
  <si>
    <t>ORD1554</t>
  </si>
  <si>
    <t>ORD1557</t>
  </si>
  <si>
    <t>ORD1558</t>
  </si>
  <si>
    <t>ORD1559</t>
  </si>
  <si>
    <t>ORD1561</t>
  </si>
  <si>
    <t>ORD1562</t>
  </si>
  <si>
    <t>ORD1563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</si>
  <si>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</si>
  <si>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</si>
  <si>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</si>
  <si>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</si>
  <si>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</si>
  <si>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</si>
  <si>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</si>
  <si>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</si>
  <si>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ORD1574</t>
  </si>
  <si>
    <t>ORD1575</t>
  </si>
  <si>
    <t>ORD1577</t>
  </si>
  <si>
    <t>ORD1578</t>
  </si>
  <si>
    <t>ORD1580</t>
  </si>
  <si>
    <t>ORD1581</t>
  </si>
  <si>
    <t>ORD1582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</si>
  <si>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</si>
  <si>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</si>
  <si>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</si>
  <si>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</si>
  <si>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</si>
  <si>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</si>
  <si>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</si>
  <si>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</si>
  <si>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ORD1593</t>
  </si>
  <si>
    <t>ORD1594</t>
  </si>
  <si>
    <t>ORD1595</t>
  </si>
  <si>
    <t>ORD1596</t>
  </si>
  <si>
    <t>ORD1597</t>
  </si>
  <si>
    <t>ORD1600</t>
  </si>
  <si>
    <t>ORD1604</t>
  </si>
  <si>
    <t>ORD1605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</si>
  <si>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</si>
  <si>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</si>
  <si>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</si>
  <si>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</si>
  <si>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</si>
  <si>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</si>
  <si>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</si>
  <si>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</si>
  <si>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</si>
  <si>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</si>
  <si>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</si>
  <si>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</si>
  <si>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</si>
  <si>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</si>
  <si>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</si>
  <si>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ORD1624</t>
  </si>
  <si>
    <t>ORD1625</t>
  </si>
  <si>
    <t>ord1626</t>
  </si>
  <si>
    <t>ORD1627</t>
  </si>
  <si>
    <t>ORD1628</t>
  </si>
  <si>
    <t>ORD1630</t>
  </si>
  <si>
    <t>ORD1632</t>
  </si>
  <si>
    <t>ORD1633</t>
  </si>
  <si>
    <t>ORD1634</t>
  </si>
  <si>
    <t>ORD1635</t>
  </si>
  <si>
    <t>ORD1636</t>
  </si>
  <si>
    <t>ORD1638</t>
  </si>
  <si>
    <t>ORD1641</t>
  </si>
  <si>
    <t>ORD1642</t>
  </si>
  <si>
    <t>ORD1643</t>
  </si>
  <si>
    <t>ORD1646</t>
  </si>
  <si>
    <t>ORD1647</t>
  </si>
  <si>
    <t>ORD1650</t>
  </si>
  <si>
    <t>ORD1651</t>
  </si>
  <si>
    <t>ORD1652</t>
  </si>
  <si>
    <t>ORD1653</t>
  </si>
  <si>
    <t>ORD1655</t>
  </si>
  <si>
    <t>ORD1656</t>
  </si>
  <si>
    <t>ORD1658</t>
  </si>
  <si>
    <t>ORD1659</t>
  </si>
  <si>
    <t>ORD1663</t>
  </si>
  <si>
    <t>ORD1664</t>
  </si>
  <si>
    <t>ORD1665</t>
  </si>
  <si>
    <t>ORD1666</t>
  </si>
  <si>
    <t>ORD1667</t>
  </si>
  <si>
    <t>ORD1668</t>
  </si>
  <si>
    <t>ORD1670</t>
  </si>
  <si>
    <t>ORD1672</t>
  </si>
  <si>
    <t>ORD1673</t>
  </si>
  <si>
    <t>ORD1674</t>
  </si>
  <si>
    <t>ORD1675</t>
  </si>
  <si>
    <t>ord1676</t>
  </si>
  <si>
    <t>ORD1678</t>
  </si>
  <si>
    <t>ORD1679</t>
  </si>
  <si>
    <t>ord1680</t>
  </si>
  <si>
    <t>ORD1681</t>
  </si>
  <si>
    <t>ORD1682</t>
  </si>
  <si>
    <t>ord1683</t>
  </si>
  <si>
    <t>ORD1685</t>
  </si>
  <si>
    <t>ORD1686</t>
  </si>
  <si>
    <t>ORD1689</t>
  </si>
  <si>
    <t>ORD1690</t>
  </si>
  <si>
    <t>ORD1691</t>
  </si>
  <si>
    <t>ORD1692</t>
  </si>
  <si>
    <t>ORD1693</t>
  </si>
  <si>
    <t>ORD1694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</si>
  <si>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</si>
  <si>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</si>
  <si>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</si>
  <si>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</si>
  <si>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</si>
  <si>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</si>
  <si>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</si>
  <si>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</si>
  <si>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</si>
  <si>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</si>
  <si>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</si>
  <si>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</si>
  <si>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</si>
  <si>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</si>
  <si>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</si>
  <si>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</si>
  <si>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</si>
  <si>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</si>
  <si>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ORD1715</t>
  </si>
  <si>
    <t>ORD1716</t>
  </si>
  <si>
    <t>ORD1717</t>
  </si>
  <si>
    <t>ORD1718</t>
  </si>
  <si>
    <t>ORD1719</t>
  </si>
  <si>
    <t>ORD1720</t>
  </si>
  <si>
    <t>ORD1722</t>
  </si>
  <si>
    <t>ORD1723</t>
  </si>
  <si>
    <t>ORD1724</t>
  </si>
  <si>
    <t>ORD1725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</si>
  <si>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</si>
  <si>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</si>
  <si>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</si>
  <si>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</si>
  <si>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</si>
  <si>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</si>
  <si>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</si>
  <si>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</si>
  <si>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</si>
  <si>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ORD1740</t>
  </si>
  <si>
    <t>ORD1741</t>
  </si>
  <si>
    <t>ORD1742</t>
  </si>
  <si>
    <t>ORD1743</t>
  </si>
  <si>
    <t>ORD1744</t>
  </si>
  <si>
    <t>ORD1745</t>
  </si>
  <si>
    <t>ORD1747</t>
  </si>
  <si>
    <t>ORD1748</t>
  </si>
  <si>
    <t>ORD1749</t>
  </si>
  <si>
    <t>ORD1750</t>
  </si>
  <si>
    <t>ORD1751</t>
  </si>
  <si>
    <t>ORD1753</t>
  </si>
  <si>
    <t>ORD1755</t>
  </si>
  <si>
    <t>ORD1756</t>
  </si>
  <si>
    <t>ORD1757</t>
  </si>
  <si>
    <t>ORD1759</t>
  </si>
  <si>
    <t>ORD1760</t>
  </si>
  <si>
    <t>ORD1762</t>
  </si>
  <si>
    <t>ORD1763</t>
  </si>
  <si>
    <t>ORD1765</t>
  </si>
  <si>
    <t>ORD1766</t>
  </si>
  <si>
    <t>ORD1767</t>
  </si>
  <si>
    <t>ORD1768</t>
  </si>
  <si>
    <t>ORD1769</t>
  </si>
  <si>
    <t>ORD1772</t>
  </si>
  <si>
    <t>ORD1774</t>
  </si>
  <si>
    <t>ORD1775</t>
  </si>
  <si>
    <t>ORD1776</t>
  </si>
  <si>
    <t>ORD1777</t>
  </si>
  <si>
    <t>ORD1779</t>
  </si>
  <si>
    <t>ORD1781</t>
  </si>
  <si>
    <t>ORD1782</t>
  </si>
  <si>
    <t>ORD1783</t>
  </si>
  <si>
    <t>ORD1784</t>
  </si>
  <si>
    <t>ORD1785</t>
  </si>
  <si>
    <t>ORD1786</t>
  </si>
  <si>
    <t>ORD1787</t>
  </si>
  <si>
    <t>ORD1790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</si>
  <si>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</si>
  <si>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</si>
  <si>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</si>
  <si>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</si>
  <si>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</si>
  <si>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</si>
  <si>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</si>
  <si>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</si>
  <si>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</si>
  <si>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</si>
  <si>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ORD1804</t>
  </si>
  <si>
    <t>ORD1805</t>
  </si>
  <si>
    <t>ORD1806</t>
  </si>
  <si>
    <t>ORD1811</t>
  </si>
  <si>
    <t>ORD1813</t>
  </si>
  <si>
    <t>ORD1814</t>
  </si>
  <si>
    <t>ORD1815</t>
  </si>
  <si>
    <t>ORD1816</t>
  </si>
  <si>
    <t>ORD1817</t>
  </si>
  <si>
    <t>ORD1819</t>
  </si>
  <si>
    <t>ORD1820</t>
  </si>
  <si>
    <t>ORD1821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</si>
  <si>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</si>
  <si>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</si>
  <si>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</si>
  <si>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</si>
  <si>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</si>
  <si>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</si>
  <si>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</si>
  <si>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</si>
  <si>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ORD1833</t>
  </si>
  <si>
    <t>ORD1834</t>
  </si>
  <si>
    <t>ORD1836</t>
  </si>
  <si>
    <t>ORD1837</t>
  </si>
  <si>
    <t>ORD1839</t>
  </si>
  <si>
    <t>ORD1840</t>
  </si>
  <si>
    <t>ORD1842</t>
  </si>
  <si>
    <t>ORD1843</t>
  </si>
  <si>
    <t>ORD1844</t>
  </si>
  <si>
    <t>ORD1846</t>
  </si>
  <si>
    <t>ORD1848</t>
  </si>
  <si>
    <t>ORD1849</t>
  </si>
  <si>
    <t>ORD1850</t>
  </si>
  <si>
    <t>ORD1851</t>
  </si>
  <si>
    <t>ORD1852</t>
  </si>
  <si>
    <t>ORD1854</t>
  </si>
  <si>
    <t>ORD1855</t>
  </si>
  <si>
    <t>ORD1857</t>
  </si>
  <si>
    <t>ORD1858</t>
  </si>
  <si>
    <t>ORD1859</t>
  </si>
  <si>
    <t>ORD1860</t>
  </si>
  <si>
    <t>ORD1861</t>
  </si>
  <si>
    <t>ORD1863</t>
  </si>
  <si>
    <t>ORD1864</t>
  </si>
  <si>
    <t>ORD1866</t>
  </si>
  <si>
    <t>ORD1867</t>
  </si>
  <si>
    <t>ORD1868</t>
  </si>
  <si>
    <t>ORD1870</t>
  </si>
  <si>
    <t>ORD1871</t>
  </si>
  <si>
    <t>ORD1872</t>
  </si>
  <si>
    <t>ORD1873</t>
  </si>
  <si>
    <t>ORD1874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</si>
  <si>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</si>
  <si>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</si>
  <si>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</si>
  <si>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</si>
  <si>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</si>
  <si>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</si>
  <si>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</si>
  <si>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</si>
  <si>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ORD1886</t>
  </si>
  <si>
    <t>ORD1889</t>
  </si>
  <si>
    <t>ORD1890</t>
  </si>
  <si>
    <t>ORD1892</t>
  </si>
  <si>
    <t>ORD1893</t>
  </si>
  <si>
    <t>ORD1894</t>
  </si>
  <si>
    <t>ORD1895</t>
  </si>
  <si>
    <t>ORD1896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</si>
  <si>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</si>
  <si>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</si>
  <si>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</si>
  <si>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</si>
  <si>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</si>
  <si>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</si>
  <si>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</si>
  <si>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</si>
  <si>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</si>
  <si>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</si>
  <si>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</si>
  <si>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</si>
  <si>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</si>
  <si>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</si>
  <si>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ORD1913</t>
  </si>
  <si>
    <t>ORD1914</t>
  </si>
  <si>
    <t>ORD1915</t>
  </si>
  <si>
    <t>ORD1917</t>
  </si>
  <si>
    <t>ORD1918</t>
  </si>
  <si>
    <t>ORD1921</t>
  </si>
  <si>
    <t>ORD1922</t>
  </si>
  <si>
    <t>ORD1923</t>
  </si>
  <si>
    <t>ORD1924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</si>
  <si>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</si>
  <si>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</si>
  <si>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</si>
  <si>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</si>
  <si>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</si>
  <si>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</si>
  <si>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</si>
  <si>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</si>
  <si>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</si>
  <si>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</si>
  <si>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</si>
  <si>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ORD1938</t>
  </si>
  <si>
    <t>ORD1939</t>
  </si>
  <si>
    <t>ORD1940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</si>
  <si>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</si>
  <si>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</si>
  <si>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</si>
  <si>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</si>
  <si>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</si>
  <si>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</si>
  <si>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</si>
  <si>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</si>
  <si>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</si>
  <si>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</si>
  <si>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ORD1953</t>
  </si>
  <si>
    <t>ord1954</t>
  </si>
  <si>
    <t>ORD1955</t>
  </si>
  <si>
    <t>ORD1956</t>
  </si>
  <si>
    <t>ORD1957</t>
  </si>
  <si>
    <t>ORD1959</t>
  </si>
  <si>
    <t>ORD1961</t>
  </si>
  <si>
    <t>ORD1963</t>
  </si>
  <si>
    <t>ORD1964</t>
  </si>
  <si>
    <t>ORD1966</t>
  </si>
  <si>
    <t>ORD1968</t>
  </si>
  <si>
    <t>ORD1969</t>
  </si>
  <si>
    <t>ORD1971</t>
  </si>
  <si>
    <t>ord1972</t>
  </si>
  <si>
    <t>ORD1973</t>
  </si>
  <si>
    <t>ORD1974</t>
  </si>
  <si>
    <t>ORD1975</t>
  </si>
  <si>
    <t>ORD1976</t>
  </si>
  <si>
    <t>ORD1980</t>
  </si>
  <si>
    <t>ORD1981</t>
  </si>
  <si>
    <t>ORD1982</t>
  </si>
  <si>
    <t>ORD1983</t>
  </si>
  <si>
    <t>ORD1984</t>
  </si>
  <si>
    <t>ORD1986</t>
  </si>
  <si>
    <t>ORD1988</t>
  </si>
  <si>
    <t>ORD1990</t>
  </si>
  <si>
    <t>ORD1991</t>
  </si>
  <si>
    <t>ORD1993</t>
  </si>
  <si>
    <t>ORD1996</t>
  </si>
  <si>
    <t>ORD1997</t>
  </si>
  <si>
    <t>ORD1998</t>
  </si>
  <si>
    <t>ORD2001</t>
  </si>
  <si>
    <t>ORD2002</t>
  </si>
  <si>
    <t>ORD2003</t>
  </si>
  <si>
    <t>ORD2004</t>
  </si>
  <si>
    <t>ORD2007</t>
  </si>
  <si>
    <t>ORD2008</t>
  </si>
  <si>
    <t>ORD2009</t>
  </si>
  <si>
    <t>ORD2010</t>
  </si>
  <si>
    <t>ORD2011</t>
  </si>
  <si>
    <t>ORD2013</t>
  </si>
  <si>
    <t>ORD2015</t>
  </si>
  <si>
    <t>ORD2017</t>
  </si>
  <si>
    <t>ORD2018</t>
  </si>
  <si>
    <t>ORD2019</t>
  </si>
  <si>
    <t>ORD2020</t>
  </si>
  <si>
    <t>ORD2021</t>
  </si>
  <si>
    <t>ORD2022</t>
  </si>
  <si>
    <t>ORD2023</t>
  </si>
  <si>
    <t>ORD2025</t>
  </si>
  <si>
    <t>ORD2026</t>
  </si>
  <si>
    <t>ORD2028</t>
  </si>
  <si>
    <t>ORD2031</t>
  </si>
  <si>
    <t>ORD2033</t>
  </si>
  <si>
    <t>ORD2034</t>
  </si>
  <si>
    <t>ORD2035</t>
  </si>
  <si>
    <t>ORD2036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</si>
  <si>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</si>
  <si>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</si>
  <si>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</si>
  <si>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</si>
  <si>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</si>
  <si>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</si>
  <si>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</si>
  <si>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</si>
  <si>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ORD2047</t>
  </si>
  <si>
    <t>ORD2048</t>
  </si>
  <si>
    <t>ORD2049</t>
  </si>
  <si>
    <t>ORD2051</t>
  </si>
  <si>
    <t>ORD2052</t>
  </si>
  <si>
    <t>ORD2053</t>
  </si>
  <si>
    <t>ORD2054</t>
  </si>
  <si>
    <t>ORD2055</t>
  </si>
  <si>
    <t>ORD2056</t>
  </si>
  <si>
    <t>ORD2057</t>
  </si>
  <si>
    <t>ORD2059</t>
  </si>
  <si>
    <t>ORD2065</t>
  </si>
  <si>
    <t>ORD2066</t>
  </si>
  <si>
    <t>ORD2067</t>
  </si>
  <si>
    <t>ORD2068</t>
  </si>
  <si>
    <t>ORD2069</t>
  </si>
  <si>
    <t>ORD2070</t>
  </si>
  <si>
    <t>ORD2071</t>
  </si>
  <si>
    <t>ORD2073</t>
  </si>
  <si>
    <t>ORD2074</t>
  </si>
  <si>
    <t>ORD2076</t>
  </si>
  <si>
    <t>ORD2077</t>
  </si>
  <si>
    <t>ORD2079</t>
  </si>
  <si>
    <t>ORD2081</t>
  </si>
  <si>
    <t>ORD2084</t>
  </si>
  <si>
    <t>ORD2086</t>
  </si>
  <si>
    <t>ORD2087</t>
  </si>
  <si>
    <t>ORD2088</t>
  </si>
  <si>
    <t>ORD2090</t>
  </si>
  <si>
    <t>ORD2091</t>
  </si>
  <si>
    <t>ORD2092</t>
  </si>
  <si>
    <t>ORD2093</t>
  </si>
  <si>
    <t>ORD2094</t>
  </si>
  <si>
    <t>ORD2095</t>
  </si>
  <si>
    <t>ORD2096</t>
  </si>
  <si>
    <t>ORD2098</t>
  </si>
  <si>
    <t>ORD2100</t>
  </si>
  <si>
    <t>ORD2101</t>
  </si>
  <si>
    <t>ORD2104</t>
  </si>
  <si>
    <t>ORD2105</t>
  </si>
  <si>
    <t>ORD2109</t>
  </si>
  <si>
    <t>ORD2111</t>
  </si>
  <si>
    <t>ORD2112</t>
  </si>
  <si>
    <t>ORD2113</t>
  </si>
  <si>
    <t>ORD2114</t>
  </si>
  <si>
    <t>ORD2116</t>
  </si>
  <si>
    <t>ORD2117</t>
  </si>
  <si>
    <t>ORD2118</t>
  </si>
  <si>
    <t>ORD2120</t>
  </si>
  <si>
    <t>ord2121</t>
  </si>
  <si>
    <t>ORD2122</t>
  </si>
  <si>
    <t>ORD2124</t>
  </si>
  <si>
    <t>ORD2127</t>
  </si>
  <si>
    <t>ORD2128</t>
  </si>
  <si>
    <t>ORD2129</t>
  </si>
  <si>
    <t>ORD2130</t>
  </si>
  <si>
    <t>ORD2132</t>
  </si>
  <si>
    <t>ORD2133</t>
  </si>
  <si>
    <t>ORD2134</t>
  </si>
  <si>
    <t>ORD2135</t>
  </si>
  <si>
    <t>ORD2137</t>
  </si>
  <si>
    <t>ORD2138</t>
  </si>
  <si>
    <t>ORD2140</t>
  </si>
  <si>
    <t>ORD2141</t>
  </si>
  <si>
    <t>ORD2142</t>
  </si>
  <si>
    <t>ORD2143</t>
  </si>
  <si>
    <t>ORD2144</t>
  </si>
  <si>
    <t>ORD2146</t>
  </si>
  <si>
    <t>ORD2147</t>
  </si>
  <si>
    <t>ORD2148</t>
  </si>
  <si>
    <t>ORD2149</t>
  </si>
  <si>
    <t>ORD2151</t>
  </si>
  <si>
    <t>ORD2152</t>
  </si>
  <si>
    <t>ORD2153</t>
  </si>
  <si>
    <t>ORD2155</t>
  </si>
  <si>
    <t>ORD2156</t>
  </si>
  <si>
    <t>ORD2157</t>
  </si>
  <si>
    <t>ORD2158</t>
  </si>
  <si>
    <t>ORD2160</t>
  </si>
  <si>
    <t>ORD2162</t>
  </si>
  <si>
    <t>ORD2165</t>
  </si>
  <si>
    <t>ORD2166</t>
  </si>
  <si>
    <t>ORD2167</t>
  </si>
  <si>
    <t>ORD2169</t>
  </si>
  <si>
    <t>ORD2170</t>
  </si>
  <si>
    <t>ORD2171</t>
  </si>
  <si>
    <t>ORD2172</t>
  </si>
  <si>
    <t>ORD2173</t>
  </si>
  <si>
    <t>ORD2174</t>
  </si>
  <si>
    <t>ORD2175</t>
  </si>
  <si>
    <t>ORD2178</t>
  </si>
  <si>
    <t>ORD2179</t>
  </si>
  <si>
    <t>ORD2180</t>
  </si>
  <si>
    <t>ORD2182</t>
  </si>
  <si>
    <t>ORD2184</t>
  </si>
  <si>
    <t>ORD2185</t>
  </si>
  <si>
    <t>ORD2187</t>
  </si>
  <si>
    <t>ORD2188</t>
  </si>
  <si>
    <t>ORD2189</t>
  </si>
  <si>
    <t>ORD2190</t>
  </si>
  <si>
    <t>ORD2194</t>
  </si>
  <si>
    <t>ORD2196</t>
  </si>
  <si>
    <t>ORD2197</t>
  </si>
  <si>
    <t>ORD2198</t>
  </si>
  <si>
    <t>ORD2199</t>
  </si>
  <si>
    <t>ORD2201</t>
  </si>
  <si>
    <t>ORD2202</t>
  </si>
  <si>
    <t>ORD2203</t>
  </si>
  <si>
    <t>ORD2204</t>
  </si>
  <si>
    <t>ORD2205</t>
  </si>
  <si>
    <t>ORD2206</t>
  </si>
  <si>
    <t>ORD2208</t>
  </si>
  <si>
    <t>ORD2211</t>
  </si>
  <si>
    <t>ORD2212</t>
  </si>
  <si>
    <t>ORD2213</t>
  </si>
  <si>
    <t>ORD2217</t>
  </si>
  <si>
    <t>ORD2218</t>
  </si>
  <si>
    <t>ORD2219</t>
  </si>
  <si>
    <t>ORD2220</t>
  </si>
  <si>
    <t>ORD2222</t>
  </si>
  <si>
    <t>ORD2223</t>
  </si>
  <si>
    <t>ORD2224</t>
  </si>
  <si>
    <t>ORD2225</t>
  </si>
  <si>
    <t>ORD2227</t>
  </si>
  <si>
    <t>ORD2229</t>
  </si>
  <si>
    <t>ORD2231</t>
  </si>
  <si>
    <t>ORD2232</t>
  </si>
  <si>
    <t>ORD2234</t>
  </si>
  <si>
    <t>ORD2237</t>
  </si>
  <si>
    <t>ORD2239</t>
  </si>
  <si>
    <t>ORD2240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</si>
  <si>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</si>
  <si>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</si>
  <si>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</si>
  <si>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</si>
  <si>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</si>
  <si>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</si>
  <si>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</si>
  <si>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</si>
  <si>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</si>
  <si>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ORD2252</t>
  </si>
  <si>
    <t>ORD2253</t>
  </si>
  <si>
    <t>ORD2254</t>
  </si>
  <si>
    <t>ORD2255</t>
  </si>
  <si>
    <t>ORD2256</t>
  </si>
  <si>
    <t>ORD2258</t>
  </si>
  <si>
    <t>ORD2259</t>
  </si>
  <si>
    <t>ORD2261</t>
  </si>
  <si>
    <t>ORD2265</t>
  </si>
  <si>
    <t>ORD2266</t>
  </si>
  <si>
    <t>ORD2267</t>
  </si>
  <si>
    <t>ORD2268</t>
  </si>
  <si>
    <t>ORD2269</t>
  </si>
  <si>
    <t>ORD2271</t>
  </si>
  <si>
    <t>ORD2273</t>
  </si>
  <si>
    <t>ORD2274</t>
  </si>
  <si>
    <t>ORD2275</t>
  </si>
  <si>
    <t>ORD2276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</si>
  <si>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</si>
  <si>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</si>
  <si>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</si>
  <si>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</si>
  <si>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</si>
  <si>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</si>
  <si>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</si>
  <si>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</si>
  <si>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</si>
  <si>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</si>
  <si>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</si>
  <si>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</si>
  <si>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</si>
  <si>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</si>
  <si>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</si>
  <si>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</si>
  <si>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ORD2297</t>
  </si>
  <si>
    <t>ORD2298</t>
  </si>
  <si>
    <t>ORD2300</t>
  </si>
  <si>
    <t>ORD2304</t>
  </si>
  <si>
    <t>ORD2305</t>
  </si>
  <si>
    <t>ORD2309</t>
  </si>
  <si>
    <t>ORD2310</t>
  </si>
  <si>
    <t>ORD2311</t>
  </si>
  <si>
    <t>ORD2312</t>
  </si>
  <si>
    <t>ORD2314</t>
  </si>
  <si>
    <t>ORD2316</t>
  </si>
  <si>
    <t>ORD2317</t>
  </si>
  <si>
    <t>ORD2318</t>
  </si>
  <si>
    <t>ORD2319</t>
  </si>
  <si>
    <t>ORD2320</t>
  </si>
  <si>
    <t>ORD2321</t>
  </si>
  <si>
    <t>ORD2323</t>
  </si>
  <si>
    <t>ORD2328</t>
  </si>
  <si>
    <t>ORD2329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</si>
  <si>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</si>
  <si>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</si>
  <si>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</si>
  <si>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</si>
  <si>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</si>
  <si>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</si>
  <si>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</si>
  <si>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</si>
  <si>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</si>
  <si>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</si>
  <si>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</si>
  <si>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</si>
  <si>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</si>
  <si>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</si>
  <si>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</si>
  <si>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</si>
  <si>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</si>
  <si>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</si>
  <si>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</si>
  <si>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ORD2354</t>
  </si>
  <si>
    <t>ORD2356</t>
  </si>
  <si>
    <t>ORD2357</t>
  </si>
  <si>
    <t>ORD2358</t>
  </si>
  <si>
    <t>ORD2359</t>
  </si>
  <si>
    <t>ORD2361</t>
  </si>
  <si>
    <t>ORD2362</t>
  </si>
  <si>
    <t>ORD2363</t>
  </si>
  <si>
    <t>ORD2366</t>
  </si>
  <si>
    <t>ORD2367</t>
  </si>
  <si>
    <t>ORD2368</t>
  </si>
  <si>
    <t>ORD2369</t>
  </si>
  <si>
    <t>ORD2370</t>
  </si>
  <si>
    <t>ORD2372</t>
  </si>
  <si>
    <t>ORD2373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</si>
  <si>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</si>
  <si>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</si>
  <si>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</si>
  <si>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</si>
  <si>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</si>
  <si>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</si>
  <si>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</si>
  <si>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</si>
  <si>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</si>
  <si>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</si>
  <si>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</si>
  <si>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ORD2387</t>
  </si>
  <si>
    <t>ORD2388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</si>
  <si>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</si>
  <si>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</si>
  <si>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</si>
  <si>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</si>
  <si>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</si>
  <si>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</si>
  <si>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</si>
  <si>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</si>
  <si>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ORD2400</t>
  </si>
  <si>
    <t>ORD2401</t>
  </si>
  <si>
    <t>ORD2402</t>
  </si>
  <si>
    <t>ORD2404</t>
  </si>
  <si>
    <t>ORD2405</t>
  </si>
  <si>
    <t>ORD2407</t>
  </si>
  <si>
    <t>ORD2409</t>
  </si>
  <si>
    <t>ORD2410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</si>
  <si>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</si>
  <si>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</si>
  <si>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</si>
  <si>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</si>
  <si>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</si>
  <si>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</si>
  <si>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</si>
  <si>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</si>
  <si>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ORD2422</t>
  </si>
  <si>
    <t>ORD2423</t>
  </si>
  <si>
    <t>ORD2425</t>
  </si>
  <si>
    <t>ORD2426</t>
  </si>
  <si>
    <t>ORD2427</t>
  </si>
  <si>
    <t>ORD2428</t>
  </si>
  <si>
    <t>ORD2430</t>
  </si>
  <si>
    <t>ORD2431</t>
  </si>
  <si>
    <t>ORD2432</t>
  </si>
  <si>
    <t>ORD2433</t>
  </si>
  <si>
    <t>ORD2434</t>
  </si>
  <si>
    <t>ORD2435</t>
  </si>
  <si>
    <t>ORD2438</t>
  </si>
  <si>
    <t>ORD2439</t>
  </si>
  <si>
    <t>ORD2440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</si>
  <si>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</si>
  <si>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</si>
  <si>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</si>
  <si>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</si>
  <si>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</si>
  <si>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</si>
  <si>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</si>
  <si>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</si>
  <si>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</si>
  <si>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</si>
  <si>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</si>
  <si>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</si>
  <si>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</si>
  <si>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</si>
  <si>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</si>
  <si>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</si>
  <si>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</si>
  <si>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</si>
  <si>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</si>
  <si>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</si>
  <si>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</si>
  <si>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</si>
  <si>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</si>
  <si>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</si>
  <si>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</si>
  <si>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</si>
  <si>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</si>
  <si>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ORD2477</t>
  </si>
  <si>
    <t>ORD2479</t>
  </si>
  <si>
    <t>ORD2480</t>
  </si>
  <si>
    <t>ORD2481</t>
  </si>
  <si>
    <t>ORD2483</t>
  </si>
  <si>
    <t>ORD2485</t>
  </si>
  <si>
    <t>ORD2486</t>
  </si>
  <si>
    <t>ORD2487</t>
  </si>
  <si>
    <t>ORD2489</t>
  </si>
  <si>
    <t>ORD2493</t>
  </si>
  <si>
    <t>ORD2494</t>
  </si>
  <si>
    <t>ORD2496</t>
  </si>
  <si>
    <t>ORD2497</t>
  </si>
  <si>
    <t>ORD2499</t>
  </si>
  <si>
    <t>ORD2501</t>
  </si>
  <si>
    <t>ORD2502</t>
  </si>
  <si>
    <t>ORD2503</t>
  </si>
  <si>
    <t>ORD2504</t>
  </si>
  <si>
    <t>ORD2505</t>
  </si>
  <si>
    <t>ORD2506</t>
  </si>
  <si>
    <t>ORD2508</t>
  </si>
  <si>
    <t>ORD2511</t>
  </si>
  <si>
    <t>ORD2512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</si>
  <si>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</si>
  <si>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</si>
  <si>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</si>
  <si>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</si>
  <si>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</si>
  <si>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</si>
  <si>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</si>
  <si>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</si>
  <si>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</si>
  <si>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ORD2524</t>
  </si>
  <si>
    <t>ORD2525</t>
  </si>
  <si>
    <t>ORD2526</t>
  </si>
  <si>
    <t>ORD2527</t>
  </si>
  <si>
    <t>ORD2528</t>
  </si>
  <si>
    <t>ORD2533</t>
  </si>
  <si>
    <t>ORD2534</t>
  </si>
  <si>
    <t>ORD2535</t>
  </si>
  <si>
    <t>ORD2536</t>
  </si>
  <si>
    <t>ORD2538</t>
  </si>
  <si>
    <t>ORD2539</t>
  </si>
  <si>
    <t>ord2541</t>
  </si>
  <si>
    <t>ORD2545</t>
  </si>
  <si>
    <t>ORD2546</t>
  </si>
  <si>
    <t>ORD2548</t>
  </si>
  <si>
    <t>ORD2549</t>
  </si>
  <si>
    <t>ORD2551</t>
  </si>
  <si>
    <t>ORD2552</t>
  </si>
  <si>
    <t>ORD2553</t>
  </si>
  <si>
    <t>ORD2555</t>
  </si>
  <si>
    <t>ORD2556</t>
  </si>
  <si>
    <t>ORD2557</t>
  </si>
  <si>
    <t>ORD2559</t>
  </si>
  <si>
    <t>ORD2560</t>
  </si>
  <si>
    <t>ORD2563</t>
  </si>
  <si>
    <t>ORD2565</t>
  </si>
  <si>
    <t>ORD2566</t>
  </si>
  <si>
    <t>ORD2567</t>
  </si>
  <si>
    <t>ORD2569</t>
  </si>
  <si>
    <t>ORD2571</t>
  </si>
  <si>
    <t>ORD2572</t>
  </si>
  <si>
    <t>ORD2573</t>
  </si>
  <si>
    <t>ORD2574</t>
  </si>
  <si>
    <t>ORD2576</t>
  </si>
  <si>
    <t>ORD2577</t>
  </si>
  <si>
    <t>ORD2580</t>
  </si>
  <si>
    <t>ORD2582</t>
  </si>
  <si>
    <t>ORD2584</t>
  </si>
  <si>
    <t>ORD2585</t>
  </si>
  <si>
    <t>ORD2587</t>
  </si>
  <si>
    <t>ORD2588</t>
  </si>
  <si>
    <t>ORD2589</t>
  </si>
  <si>
    <t>ORD2590</t>
  </si>
  <si>
    <t>ORD2591</t>
  </si>
  <si>
    <t>ORD2592</t>
  </si>
  <si>
    <t>ORD2595</t>
  </si>
  <si>
    <t>ORD2596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</si>
  <si>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</si>
  <si>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</si>
  <si>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</si>
  <si>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</si>
  <si>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</si>
  <si>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</si>
  <si>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</si>
  <si>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</si>
  <si>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</si>
  <si>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</si>
  <si>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</si>
  <si>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ORD2610</t>
  </si>
  <si>
    <t>ORD2611</t>
  </si>
  <si>
    <t>ORD2612</t>
  </si>
  <si>
    <t>ORD2614</t>
  </si>
  <si>
    <t>ORD2615</t>
  </si>
  <si>
    <t>ORD2617</t>
  </si>
  <si>
    <t>ORD2618</t>
  </si>
  <si>
    <t>ORD2619</t>
  </si>
  <si>
    <t>ORD2620</t>
  </si>
  <si>
    <t>ORD2621</t>
  </si>
  <si>
    <t>ORD2622</t>
  </si>
  <si>
    <t>ORD2623</t>
  </si>
  <si>
    <t>ORD2625</t>
  </si>
  <si>
    <t>ORD2626</t>
  </si>
  <si>
    <t>ORD2627</t>
  </si>
  <si>
    <t>ORD2628</t>
  </si>
  <si>
    <t>ORD2632</t>
  </si>
  <si>
    <t>ORD2635</t>
  </si>
  <si>
    <t>ORD2636</t>
  </si>
  <si>
    <t>ORD2639</t>
  </si>
  <si>
    <t>ORD2641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</si>
  <si>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</si>
  <si>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</si>
  <si>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</si>
  <si>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</si>
  <si>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</si>
  <si>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</si>
  <si>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</si>
  <si>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</si>
  <si>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</si>
  <si>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</si>
  <si>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</si>
  <si>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</si>
  <si>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</si>
  <si>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</si>
  <si>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</si>
  <si>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</si>
  <si>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</si>
  <si>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</si>
  <si>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</si>
  <si>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ORD2666</t>
  </si>
  <si>
    <t>ORD2669</t>
  </si>
  <si>
    <t>ORD2671</t>
  </si>
  <si>
    <t>ORD2672</t>
  </si>
  <si>
    <t>ORD2675</t>
  </si>
  <si>
    <t>ORD2676</t>
  </si>
  <si>
    <t>ORD2677</t>
  </si>
  <si>
    <t>ORD2678</t>
  </si>
  <si>
    <t>ORD2679</t>
  </si>
  <si>
    <t>ORD2680</t>
  </si>
  <si>
    <t>ORD2681</t>
  </si>
  <si>
    <t>ORD2683</t>
  </si>
  <si>
    <t>ORD2685</t>
  </si>
  <si>
    <t>ORD2686</t>
  </si>
  <si>
    <t>ORD2691</t>
  </si>
  <si>
    <t>ORD2692</t>
  </si>
  <si>
    <t>ORD2694</t>
  </si>
  <si>
    <t>ORD2695</t>
  </si>
  <si>
    <t>ORD2696</t>
  </si>
  <si>
    <t>ORD2697</t>
  </si>
  <si>
    <t>ORD2698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</si>
  <si>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</si>
  <si>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</si>
  <si>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</si>
  <si>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</si>
  <si>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</si>
  <si>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</si>
  <si>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</si>
  <si>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</si>
  <si>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</si>
  <si>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</si>
  <si>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ORD2711</t>
  </si>
  <si>
    <t>ORD2713</t>
  </si>
  <si>
    <t>ORD2714</t>
  </si>
  <si>
    <t>ORD2715</t>
  </si>
  <si>
    <t>ORD2716</t>
  </si>
  <si>
    <t>ORD2717</t>
  </si>
  <si>
    <t>ORD2718</t>
  </si>
  <si>
    <t>ORD2721</t>
  </si>
  <si>
    <t>ORD2723</t>
  </si>
  <si>
    <t>ORD2725</t>
  </si>
  <si>
    <t>ORD2726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</si>
  <si>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</si>
  <si>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</si>
  <si>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</si>
  <si>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</si>
  <si>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</si>
  <si>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</si>
  <si>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</si>
  <si>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</si>
  <si>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ORD2740</t>
  </si>
  <si>
    <t>ORD2742</t>
  </si>
  <si>
    <t>ORD2743</t>
  </si>
  <si>
    <t>ORD2744</t>
  </si>
  <si>
    <t>ORD2745</t>
  </si>
  <si>
    <t>ORD2748</t>
  </si>
  <si>
    <t>ORD2749</t>
  </si>
  <si>
    <t>ORD2752</t>
  </si>
  <si>
    <t>ORD2753</t>
  </si>
  <si>
    <t>ORD2755</t>
  </si>
  <si>
    <t>ORD2756</t>
  </si>
  <si>
    <t>ORD2759</t>
  </si>
  <si>
    <t>ORD2760</t>
  </si>
  <si>
    <t>ORD2763</t>
  </si>
  <si>
    <t>ORD2765</t>
  </si>
  <si>
    <t>ORD2767</t>
  </si>
  <si>
    <t>ORD2768</t>
  </si>
  <si>
    <t>ORD2772</t>
  </si>
  <si>
    <t>ORD2773</t>
  </si>
  <si>
    <t>ORD2774</t>
  </si>
  <si>
    <t>ORD2775</t>
  </si>
  <si>
    <t>ORD2776</t>
  </si>
  <si>
    <t>ORD2780</t>
  </si>
  <si>
    <t>ORD2781</t>
  </si>
  <si>
    <t>ORD2782</t>
  </si>
  <si>
    <t>ORD2784</t>
  </si>
  <si>
    <t>ORD2785</t>
  </si>
  <si>
    <t>ORD2786</t>
  </si>
  <si>
    <t>ORD2787</t>
  </si>
  <si>
    <t>ORD2788</t>
  </si>
  <si>
    <t>ORD2790</t>
  </si>
  <si>
    <t>ORD2791</t>
  </si>
  <si>
    <t>ORD2792</t>
  </si>
  <si>
    <t>ORD2794</t>
  </si>
  <si>
    <t>ORD2795</t>
  </si>
  <si>
    <t>ORD2796</t>
  </si>
  <si>
    <t>ORD2797</t>
  </si>
  <si>
    <t>ORD2799</t>
  </si>
  <si>
    <t>ORD2801</t>
  </si>
  <si>
    <t>ORD2803</t>
  </si>
  <si>
    <t>ORD2804</t>
  </si>
  <si>
    <t>ORD2806</t>
  </si>
  <si>
    <t>ORD2809</t>
  </si>
  <si>
    <t>ORD2813</t>
  </si>
  <si>
    <t>ORD2814</t>
  </si>
  <si>
    <t>ORD2815</t>
  </si>
  <si>
    <t>ORD2816</t>
  </si>
  <si>
    <t>ORD2817</t>
  </si>
  <si>
    <t>ORD2818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</si>
  <si>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</si>
  <si>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</si>
  <si>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</si>
  <si>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</si>
  <si>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</si>
  <si>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</si>
  <si>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</si>
  <si>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</si>
  <si>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ORD2830</t>
  </si>
  <si>
    <t>ORD2831</t>
  </si>
  <si>
    <t>ORD2833</t>
  </si>
  <si>
    <t>ORD2834</t>
  </si>
  <si>
    <t>ORD2835</t>
  </si>
  <si>
    <t>ORD2836</t>
  </si>
  <si>
    <t>ORD2837</t>
  </si>
  <si>
    <t>ORD2838</t>
  </si>
  <si>
    <t>ORD2840</t>
  </si>
  <si>
    <t>ORD2841</t>
  </si>
  <si>
    <t>ORD2842</t>
  </si>
  <si>
    <t>ORD2843</t>
  </si>
  <si>
    <t>ORD2844</t>
  </si>
  <si>
    <t>ORD2845</t>
  </si>
  <si>
    <t>ORD2849</t>
  </si>
  <si>
    <t>ORD2850</t>
  </si>
  <si>
    <t>ORD2852</t>
  </si>
  <si>
    <t>ORD2856</t>
  </si>
  <si>
    <t>ORD2857</t>
  </si>
  <si>
    <t>ORD2859</t>
  </si>
  <si>
    <t>ORD2860</t>
  </si>
  <si>
    <t>ORD2861</t>
  </si>
  <si>
    <t>ORD2862</t>
  </si>
  <si>
    <t>ORD2863</t>
  </si>
  <si>
    <t>ORD2864</t>
  </si>
  <si>
    <t>ORD2866</t>
  </si>
  <si>
    <t>ORD2867</t>
  </si>
  <si>
    <t>ORD2868</t>
  </si>
  <si>
    <t>ORD2869</t>
  </si>
  <si>
    <t>ORD2870</t>
  </si>
  <si>
    <t>ORD2872</t>
  </si>
  <si>
    <t>ORD2874</t>
  </si>
  <si>
    <t>ORD2875</t>
  </si>
  <si>
    <t>ord2877</t>
  </si>
  <si>
    <t>ORD2878</t>
  </si>
  <si>
    <t>ORD2879</t>
  </si>
  <si>
    <t>ORD2882</t>
  </si>
  <si>
    <t>ORD2883</t>
  </si>
  <si>
    <t>ORD2885</t>
  </si>
  <si>
    <t>ORD2888</t>
  </si>
  <si>
    <t>ORD2890</t>
  </si>
  <si>
    <t>ORD2891</t>
  </si>
  <si>
    <t>ORD2892</t>
  </si>
  <si>
    <t>ORD2893</t>
  </si>
  <si>
    <t>ORD2894</t>
  </si>
  <si>
    <t>ORD2895</t>
  </si>
  <si>
    <t>ORD2897</t>
  </si>
  <si>
    <t>ORD2898</t>
  </si>
  <si>
    <t>ORD2899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</si>
  <si>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</si>
  <si>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</si>
  <si>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</si>
  <si>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</si>
  <si>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</si>
  <si>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</si>
  <si>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</si>
  <si>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</si>
  <si>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</si>
  <si>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</si>
  <si>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</si>
  <si>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</si>
  <si>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</si>
  <si>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</si>
  <si>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</si>
  <si>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</si>
  <si>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</si>
  <si>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</si>
  <si>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</si>
  <si>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</si>
  <si>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</si>
  <si>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</si>
  <si>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</si>
  <si>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ORD2927</t>
  </si>
  <si>
    <t>ORD2928</t>
  </si>
  <si>
    <t>ORD2929</t>
  </si>
  <si>
    <t>ORD2930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</si>
  <si>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</si>
  <si>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</si>
  <si>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</si>
  <si>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</si>
  <si>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</si>
  <si>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</si>
  <si>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</si>
  <si>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</si>
  <si>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</si>
  <si>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</si>
  <si>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ORD2946</t>
  </si>
  <si>
    <t>ORD2948</t>
  </si>
  <si>
    <t>ORD2949</t>
  </si>
  <si>
    <t>ORD2950</t>
  </si>
  <si>
    <t>ORD2951</t>
  </si>
  <si>
    <t>ORD2952</t>
  </si>
  <si>
    <t>ORD2953</t>
  </si>
  <si>
    <t>ORD2954</t>
  </si>
  <si>
    <t>ORD2957</t>
  </si>
  <si>
    <t>ORD2958</t>
  </si>
  <si>
    <t>ORD2959</t>
  </si>
  <si>
    <t>ORD2960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</si>
  <si>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</si>
  <si>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</si>
  <si>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</si>
  <si>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</si>
  <si>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</si>
  <si>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</si>
  <si>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</si>
  <si>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</si>
  <si>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</si>
  <si>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</si>
  <si>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ORD2973</t>
  </si>
  <si>
    <t>ORD2975</t>
  </si>
  <si>
    <t>ORD2976</t>
  </si>
  <si>
    <t>ORD2978</t>
  </si>
  <si>
    <t>ORD2980</t>
  </si>
  <si>
    <t>ORD2982</t>
  </si>
  <si>
    <t>ORD2983</t>
  </si>
  <si>
    <t>ORD2984</t>
  </si>
  <si>
    <t>ORD2985</t>
  </si>
  <si>
    <t>ORD2987</t>
  </si>
  <si>
    <t>ORD2988</t>
  </si>
  <si>
    <t>ORD2989</t>
  </si>
  <si>
    <t>ORD2992</t>
  </si>
  <si>
    <t>ORD2994</t>
  </si>
  <si>
    <t>ORD2995</t>
  </si>
  <si>
    <t>ORD2996</t>
  </si>
  <si>
    <t>ORD2997</t>
  </si>
  <si>
    <t>ORD2998</t>
  </si>
  <si>
    <t>ORD2999</t>
  </si>
  <si>
    <t>1900-234-A34</t>
  </si>
  <si>
    <t>1040-567-A34</t>
  </si>
  <si>
    <t>1400-400-C34</t>
  </si>
  <si>
    <t>1700-190-K34</t>
  </si>
  <si>
    <t>B12</t>
  </si>
  <si>
    <t>A34</t>
  </si>
  <si>
    <t>C34</t>
  </si>
  <si>
    <t>K34</t>
  </si>
  <si>
    <t>ay</t>
  </si>
  <si>
    <t>did</t>
  </si>
  <si>
    <t>he</t>
  </si>
  <si>
    <t>liked</t>
  </si>
  <si>
    <t>it</t>
  </si>
  <si>
    <t>ha</t>
  </si>
  <si>
    <t>may</t>
  </si>
  <si>
    <t>be</t>
  </si>
  <si>
    <t>at</t>
  </si>
  <si>
    <t>DID HA</t>
  </si>
  <si>
    <t>HE MAY</t>
  </si>
  <si>
    <t>LIKED BE</t>
  </si>
  <si>
    <t>IT AT</t>
  </si>
  <si>
    <r>
      <t xml:space="preserve">A </t>
    </r>
    <r>
      <rPr>
        <b/>
        <sz val="11"/>
        <color rgb="FF0070C0"/>
        <rFont val="Aptos Narrow"/>
        <family val="2"/>
        <scheme val="minor"/>
      </rPr>
      <t>Relative Cell Reference</t>
    </r>
    <r>
      <rPr>
        <sz val="11"/>
        <color rgb="FF0070C0"/>
        <rFont val="Aptos Narrow"/>
        <family val="2"/>
        <scheme val="minor"/>
      </rPr>
      <t xml:space="preserve"> in Excel </t>
    </r>
    <r>
      <rPr>
        <b/>
        <sz val="11"/>
        <color rgb="FF0070C0"/>
        <rFont val="Aptos Narrow"/>
        <family val="2"/>
        <scheme val="minor"/>
      </rPr>
      <t>changes automatically</t>
    </r>
    <r>
      <rPr>
        <sz val="11"/>
        <color rgb="FF0070C0"/>
        <rFont val="Aptos Narrow"/>
        <family val="2"/>
        <scheme val="minor"/>
      </rPr>
      <t xml:space="preserve"> when you copy a formula to another cell.</t>
    </r>
  </si>
  <si>
    <r>
      <t xml:space="preserve">An </t>
    </r>
    <r>
      <rPr>
        <b/>
        <sz val="11"/>
        <color rgb="FF0070C0"/>
        <rFont val="Aptos Narrow"/>
        <family val="2"/>
        <scheme val="minor"/>
      </rPr>
      <t>Absolute Cell Reference</t>
    </r>
    <r>
      <rPr>
        <sz val="11"/>
        <color rgb="FF0070C0"/>
        <rFont val="Aptos Narrow"/>
        <family val="2"/>
        <scheme val="minor"/>
      </rPr>
      <t xml:space="preserve"> in Excel </t>
    </r>
    <r>
      <rPr>
        <b/>
        <sz val="11"/>
        <color rgb="FF0070C0"/>
        <rFont val="Aptos Narrow"/>
        <family val="2"/>
        <scheme val="minor"/>
      </rPr>
      <t>does not change</t>
    </r>
    <r>
      <rPr>
        <sz val="11"/>
        <color rgb="FF0070C0"/>
        <rFont val="Aptos Narrow"/>
        <family val="2"/>
        <scheme val="minor"/>
      </rPr>
      <t xml:space="preserve"> when you copy a formula to another cell.</t>
    </r>
  </si>
  <si>
    <t>Text to Columns is an Excel feature that splits the contents of a single column into multiple columns based on a specific delimiter (like comma, space, semicolon) or fixed width.</t>
  </si>
  <si>
    <t>*</t>
  </si>
  <si>
    <t>?</t>
  </si>
  <si>
    <r>
      <t>Wildcards</t>
    </r>
    <r>
      <rPr>
        <sz val="11"/>
        <color rgb="FF0070C0"/>
        <rFont val="Aptos Narrow"/>
        <family val="2"/>
        <scheme val="minor"/>
      </rPr>
      <t xml:space="preserve"> are special characters in Excel that </t>
    </r>
    <r>
      <rPr>
        <b/>
        <sz val="11"/>
        <color rgb="FF0070C0"/>
        <rFont val="Aptos Narrow"/>
        <family val="2"/>
        <scheme val="minor"/>
      </rPr>
      <t>represent one or more characters</t>
    </r>
    <r>
      <rPr>
        <sz val="11"/>
        <color rgb="FF0070C0"/>
        <rFont val="Aptos Narrow"/>
        <family val="2"/>
        <scheme val="minor"/>
      </rPr>
      <t xml:space="preserve"> in </t>
    </r>
    <r>
      <rPr>
        <b/>
        <sz val="11"/>
        <color rgb="FF0070C0"/>
        <rFont val="Aptos Narrow"/>
        <family val="2"/>
        <scheme val="minor"/>
      </rPr>
      <t>text searches, formulas, or conditional formatting</t>
    </r>
    <r>
      <rPr>
        <sz val="11"/>
        <color rgb="FF0070C0"/>
        <rFont val="Aptos Narrow"/>
        <family val="2"/>
        <scheme val="minor"/>
      </rPr>
      <t>.</t>
    </r>
  </si>
  <si>
    <r>
      <t xml:space="preserve">Represents </t>
    </r>
    <r>
      <rPr>
        <b/>
        <sz val="11"/>
        <color rgb="FF0070C0"/>
        <rFont val="Aptos Narrow"/>
        <family val="2"/>
        <scheme val="minor"/>
      </rPr>
      <t>any number of characters</t>
    </r>
    <r>
      <rPr>
        <sz val="11"/>
        <color rgb="FF0070C0"/>
        <rFont val="Aptos Narrow"/>
        <family val="2"/>
        <scheme val="minor"/>
      </rPr>
      <t xml:space="preserve"> (including zero)</t>
    </r>
  </si>
  <si>
    <r>
      <t xml:space="preserve">Represents </t>
    </r>
    <r>
      <rPr>
        <b/>
        <sz val="11"/>
        <color rgb="FF0070C0"/>
        <rFont val="Aptos Narrow"/>
        <family val="2"/>
        <scheme val="minor"/>
      </rPr>
      <t>any single character</t>
    </r>
  </si>
  <si>
    <r>
      <t>Flash Fill</t>
    </r>
    <r>
      <rPr>
        <sz val="11"/>
        <color rgb="FF0070C0"/>
        <rFont val="Aptos Narrow"/>
        <family val="2"/>
        <scheme val="minor"/>
      </rPr>
      <t xml:space="preserve"> in Excel is a feature that </t>
    </r>
    <r>
      <rPr>
        <b/>
        <sz val="11"/>
        <color rgb="FF0070C0"/>
        <rFont val="Aptos Narrow"/>
        <family val="2"/>
        <scheme val="minor"/>
      </rPr>
      <t>automatically fills in values in a column</t>
    </r>
    <r>
      <rPr>
        <sz val="11"/>
        <color rgb="FF0070C0"/>
        <rFont val="Aptos Narrow"/>
        <family val="2"/>
        <scheme val="minor"/>
      </rPr>
      <t xml:space="preserve"> by </t>
    </r>
    <r>
      <rPr>
        <b/>
        <sz val="11"/>
        <color rgb="FF0070C0"/>
        <rFont val="Aptos Narrow"/>
        <family val="2"/>
        <scheme val="minor"/>
      </rPr>
      <t>recognizing patterns from the data you enter manually</t>
    </r>
    <r>
      <rPr>
        <sz val="11"/>
        <color rgb="FF0070C0"/>
        <rFont val="Aptos Narrow"/>
        <family val="2"/>
        <scheme val="minor"/>
      </rPr>
      <t>.</t>
    </r>
  </si>
  <si>
    <t>Channel Names</t>
  </si>
  <si>
    <t>T-Series</t>
  </si>
  <si>
    <t>Cocomelon</t>
  </si>
  <si>
    <t>SET India</t>
  </si>
  <si>
    <t>MrBeast</t>
  </si>
  <si>
    <t>Kids Diana Show</t>
  </si>
  <si>
    <t>Like Nastya</t>
  </si>
  <si>
    <t>PewDiePie</t>
  </si>
  <si>
    <t>Vlad and Niki</t>
  </si>
  <si>
    <t>Zee Music Company</t>
  </si>
  <si>
    <t>WWE</t>
  </si>
  <si>
    <t>BLACKPINK</t>
  </si>
  <si>
    <t>5-Minute Crafts</t>
  </si>
  <si>
    <t>Sony SAB</t>
  </si>
  <si>
    <t>Dude Perfect</t>
  </si>
  <si>
    <t>Justin Bieber</t>
  </si>
  <si>
    <t>Goldmines</t>
  </si>
  <si>
    <t>HYBE LABELS</t>
  </si>
  <si>
    <t>Alan Walker</t>
  </si>
  <si>
    <t>Taylor Swift</t>
  </si>
  <si>
    <t>Marshmello</t>
  </si>
  <si>
    <t>LooLoo Kids</t>
  </si>
  <si>
    <t>Ed Sheeran</t>
  </si>
  <si>
    <t>Aaj Tak</t>
  </si>
  <si>
    <t>Zee TV</t>
  </si>
  <si>
    <t>Tips Official</t>
  </si>
  <si>
    <t>Colors TV</t>
  </si>
  <si>
    <t>The Late Show with Stephen Colbert</t>
  </si>
  <si>
    <t>Pinkfong</t>
  </si>
  <si>
    <t>National Geographic</t>
  </si>
  <si>
    <t>Discovery Channel</t>
  </si>
  <si>
    <t>Netflix</t>
  </si>
  <si>
    <t>Marvel Entertainment</t>
  </si>
  <si>
    <t>Kurzgesagt – In a Nutshell</t>
  </si>
  <si>
    <t>TED</t>
  </si>
  <si>
    <t>BBC News</t>
  </si>
  <si>
    <t>CNN</t>
  </si>
  <si>
    <t>NDTV</t>
  </si>
  <si>
    <t>Unacademy</t>
  </si>
  <si>
    <t>BYJU’S</t>
  </si>
  <si>
    <t>Great Learning</t>
  </si>
  <si>
    <t>Simplilearn</t>
  </si>
  <si>
    <t>freeCodeCamp.org</t>
  </si>
  <si>
    <t>Traversy Media</t>
  </si>
  <si>
    <t>Programming with Mosh</t>
  </si>
  <si>
    <t>Tech Burner</t>
  </si>
  <si>
    <t>Technical Guruji</t>
  </si>
  <si>
    <t>Mrwhosetheboss</t>
  </si>
  <si>
    <t>Gaurav Chaudhary</t>
  </si>
  <si>
    <t>CarryMinati</t>
  </si>
  <si>
    <t>Ashish Chanchlani</t>
  </si>
  <si>
    <t>BB Ki Vines</t>
  </si>
  <si>
    <t>Sandeep Maheshwari</t>
  </si>
  <si>
    <t>Fit Tuber</t>
  </si>
  <si>
    <t>BeerBiceps</t>
  </si>
  <si>
    <t>Drishti IAS</t>
  </si>
  <si>
    <t>Study IQ</t>
  </si>
  <si>
    <t>Khan Academy</t>
  </si>
  <si>
    <t>CrashCourse</t>
  </si>
  <si>
    <t>Veritasium</t>
  </si>
  <si>
    <t>Vsauce</t>
  </si>
  <si>
    <t>3Blue1Brown</t>
  </si>
  <si>
    <t>Math Antics</t>
  </si>
  <si>
    <t>CodeWithHarry</t>
  </si>
  <si>
    <t>Apna College</t>
  </si>
  <si>
    <t>Telusko</t>
  </si>
  <si>
    <t>Geeky Shows</t>
  </si>
  <si>
    <t>GreatStack</t>
  </si>
  <si>
    <t>ExcelIsFun</t>
  </si>
  <si>
    <t>Power BI Guys</t>
  </si>
  <si>
    <t>Guy in a Cube</t>
  </si>
  <si>
    <t>SQLBI</t>
  </si>
  <si>
    <t>Tableau Tim</t>
  </si>
  <si>
    <t>Alex The Analyst</t>
  </si>
  <si>
    <t>DataCamp</t>
  </si>
  <si>
    <t>StatQuest with Josh Starmer</t>
  </si>
  <si>
    <t>Sentdex</t>
  </si>
  <si>
    <t>Corey Schafer</t>
  </si>
  <si>
    <t>Real Python</t>
  </si>
  <si>
    <t>CS Dojo</t>
  </si>
  <si>
    <t>Abdul Bari</t>
  </si>
  <si>
    <t>S</t>
  </si>
  <si>
    <t>M</t>
  </si>
  <si>
    <t>T</t>
  </si>
  <si>
    <t>W</t>
  </si>
  <si>
    <t>F</t>
  </si>
  <si>
    <t>Su</t>
  </si>
  <si>
    <t>Mo</t>
  </si>
  <si>
    <t>Tu</t>
  </si>
  <si>
    <t>We</t>
  </si>
  <si>
    <t>Th</t>
  </si>
  <si>
    <t>Fr</t>
  </si>
  <si>
    <t>Sa</t>
  </si>
  <si>
    <t>JHON SMITH</t>
  </si>
  <si>
    <t>ARUN JHON</t>
  </si>
  <si>
    <t>DEV KRISH</t>
  </si>
  <si>
    <t>JACK LON</t>
  </si>
  <si>
    <t>MOHAN KRISH</t>
  </si>
  <si>
    <t>LAL JOS</t>
  </si>
  <si>
    <t>Jos</t>
  </si>
  <si>
    <t>lal</t>
  </si>
  <si>
    <t>Akash</t>
  </si>
  <si>
    <t>Murali</t>
  </si>
  <si>
    <t>John</t>
  </si>
  <si>
    <t>Mary</t>
  </si>
  <si>
    <t>Johnson</t>
  </si>
  <si>
    <t>dep+city</t>
  </si>
  <si>
    <t>*,?</t>
  </si>
  <si>
    <t>*A</t>
  </si>
  <si>
    <t>A*</t>
  </si>
  <si>
    <t>*A*</t>
  </si>
  <si>
    <t>A??</t>
  </si>
  <si>
    <t>total 3 charac , start A, 2</t>
  </si>
  <si>
    <t>?????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</si>
  <si>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</si>
  <si>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</si>
  <si>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</si>
  <si>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</si>
  <si>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</si>
  <si>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</si>
  <si>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</si>
  <si>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</si>
  <si>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</si>
  <si>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</si>
  <si>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male</t>
  </si>
  <si>
    <t>Male</t>
  </si>
  <si>
    <t>Female</t>
  </si>
  <si>
    <t>NAME+Dep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</si>
  <si>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</si>
  <si>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</si>
  <si>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</si>
  <si>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</si>
  <si>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</si>
  <si>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</si>
  <si>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</si>
  <si>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</si>
  <si>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</si>
  <si>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</si>
  <si>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</si>
  <si>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1. Aiden Carter</t>
  </si>
  <si>
    <t>2. Sophia Martinez</t>
  </si>
  <si>
    <t>3. Liam Johnson</t>
  </si>
  <si>
    <t>4. Olivia Brown</t>
  </si>
  <si>
    <t>5. Noah Williams</t>
  </si>
  <si>
    <t>6. Emma Davis</t>
  </si>
  <si>
    <t>7. Ethan Wilson</t>
  </si>
  <si>
    <t>8. Ava Anderson</t>
  </si>
  <si>
    <t>9. Mason Thomas</t>
  </si>
  <si>
    <t>10. Isabella Moore</t>
  </si>
  <si>
    <t>11. Lucas Taylor</t>
  </si>
  <si>
    <t>12. Mia Jackson</t>
  </si>
  <si>
    <t>13. James White</t>
  </si>
  <si>
    <t>14. Amelia Harris</t>
  </si>
  <si>
    <t>15. Benjamin Martin</t>
  </si>
  <si>
    <t>16. Harper Thompson</t>
  </si>
  <si>
    <t>17. Elijah Garcia</t>
  </si>
  <si>
    <t>18. Evelyn Robinson</t>
  </si>
  <si>
    <t>19. William Clark</t>
  </si>
  <si>
    <t>20. Abigail Lewis</t>
  </si>
  <si>
    <t>21. Alexander Lee</t>
  </si>
  <si>
    <t>22. Emily Walker</t>
  </si>
  <si>
    <t>23. Michael Hall</t>
  </si>
  <si>
    <t>24. Elizabeth Allen</t>
  </si>
  <si>
    <t>25. Daniel Young</t>
  </si>
  <si>
    <t>26. Sofia King</t>
  </si>
  <si>
    <t>27. Matthew Wright</t>
  </si>
  <si>
    <t>28. Avery Scott</t>
  </si>
  <si>
    <t>29. Henry Green</t>
  </si>
  <si>
    <t>30. Ella Baker</t>
  </si>
  <si>
    <t>31. Jackson Adams</t>
  </si>
  <si>
    <t>32. Scarlett Nelson</t>
  </si>
  <si>
    <t>33. Sebastian Hill</t>
  </si>
  <si>
    <t>34. Grace Ramirez</t>
  </si>
  <si>
    <t>35. Jack Campbell</t>
  </si>
  <si>
    <t>36. Chloe Mitchell</t>
  </si>
  <si>
    <t>37. Owen Roberts</t>
  </si>
  <si>
    <t>38. Victoria Carter</t>
  </si>
  <si>
    <t>39. Samuel Phillips</t>
  </si>
  <si>
    <t>40. Riley Evans</t>
  </si>
  <si>
    <t>41. Wyatt Turner</t>
  </si>
  <si>
    <t>42. Aria Torres</t>
  </si>
  <si>
    <t>43. Levi Parker</t>
  </si>
  <si>
    <t>44. Lily Collins</t>
  </si>
  <si>
    <t>45. Gabriel Edwards</t>
  </si>
  <si>
    <t>46. Zoey Stewart</t>
  </si>
  <si>
    <t>47. Julian Flores</t>
  </si>
  <si>
    <t>48. Nora Morris</t>
  </si>
  <si>
    <t>49. Anthony Murphy</t>
  </si>
  <si>
    <t>50. Hannah Cook</t>
  </si>
  <si>
    <t>51. Dylan Rogers</t>
  </si>
  <si>
    <t>52. Layla Reed</t>
  </si>
  <si>
    <t>53. Isaac Bailey</t>
  </si>
  <si>
    <t>54. Aubrey Bell</t>
  </si>
  <si>
    <t>55. Grayson Cooper</t>
  </si>
  <si>
    <t>56. Addison Richardson</t>
  </si>
  <si>
    <t>57. Christian Cox</t>
  </si>
  <si>
    <t>58. Natalie Howard</t>
  </si>
  <si>
    <t>59. Hunter Ward</t>
  </si>
  <si>
    <t>60. Zoe Torres</t>
  </si>
  <si>
    <t>61. Aaron Peterson</t>
  </si>
  <si>
    <t>62. Leah Gray</t>
  </si>
  <si>
    <t>63. Charles Ramirez</t>
  </si>
  <si>
    <t>64. Audrey James</t>
  </si>
  <si>
    <t>65. Josiah Watson</t>
  </si>
  <si>
    <t>66. Brooklyn Brooks</t>
  </si>
  <si>
    <t>67. Landon Kelly</t>
  </si>
  <si>
    <t>68. Savannah Sanders</t>
  </si>
  <si>
    <t>69. Adrian Price</t>
  </si>
  <si>
    <t>70. Claire Bennett</t>
  </si>
  <si>
    <t>71. Jonathan Wood</t>
  </si>
  <si>
    <t>72. Skylar Barnes</t>
  </si>
  <si>
    <t>73. Nathan Ross</t>
  </si>
  <si>
    <t>74. Paisley Henderson</t>
  </si>
  <si>
    <t>75. Ryan Coleman</t>
  </si>
  <si>
    <t>76. Bella Jenkins</t>
  </si>
  <si>
    <t>77. Colton Perry</t>
  </si>
  <si>
    <t>78. Aaliyah Powell</t>
  </si>
  <si>
    <t>79. Cameron Long</t>
  </si>
  <si>
    <t>80. Lucy Patterson</t>
  </si>
  <si>
    <t>81. Connor Hughes</t>
  </si>
  <si>
    <t>82. Anna Flores</t>
  </si>
  <si>
    <t>83. Robert Washington</t>
  </si>
  <si>
    <t>84. Kennedy Butler</t>
  </si>
  <si>
    <t>85. Jaxon Simmons</t>
  </si>
  <si>
    <t>86. Serenity Foster</t>
  </si>
  <si>
    <t>87. Angel Gonzales</t>
  </si>
  <si>
    <t>88. Genesis Bryant</t>
  </si>
  <si>
    <t>89. Dominic Alexander</t>
  </si>
  <si>
    <t>90. Aurora Russell</t>
  </si>
  <si>
    <t>91. Ian Griffin</t>
  </si>
  <si>
    <t>92. Autumn Diaz</t>
  </si>
  <si>
    <t>93. Greyson Hayes</t>
  </si>
  <si>
    <t>94. Piper Myers</t>
  </si>
  <si>
    <t>95. Carter Ford</t>
  </si>
  <si>
    <t>96. Nova Hamilton</t>
  </si>
  <si>
    <t>97. Austin Graham</t>
  </si>
  <si>
    <t>98. Willow Sullivan</t>
  </si>
  <si>
    <t>99. Jordan Wallace</t>
  </si>
  <si>
    <t>100. Violet West</t>
  </si>
  <si>
    <t xml:space="preserve">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</si>
</sst>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[$€-2]\ #,##0.00;[Red]\-[$€-2]\ #,##0.00"/>
    <numFmt numFmtId="165" formatCode="&quot;$&quot;#,##0"/>
    <numFmt numFmtId="166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15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0" fontId="0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4" borderId="0" xfId="0" applyFont="1" applyFill="1"/>
    <xf numFmtId="0" fontId="2" fillId="4" borderId="0" xfId="0" applyFont="1" applyFill="1" applyAlignment="1">
      <alignment horizontal="center" vertical="center" wrapText="1"/>
    </xf>
    <xf numFmtId="1" fontId="0" fillId="0" borderId="0" xfId="0" applyNumberFormat="1"/>
    <xf numFmtId="1" fontId="2" fillId="2" borderId="0" xfId="0" applyNumberFormat="1" applyFont="1" applyFill="1" applyAlignment="1">
      <alignment horizontal="center" vertical="center"/>
    </xf>
    <xf numFmtId="1" fontId="0" fillId="3" borderId="0" xfId="0" applyNumberFormat="1" applyFill="1" applyAlignment="1">
      <alignment horizontal="left"/>
    </xf>
    <xf numFmtId="9" fontId="0" fillId="0" borderId="0" xfId="1" applyNumberFormat="1" applyFont="1"/>
    <xf numFmtId="0" fontId="6" fillId="5" borderId="0" xfId="0" applyFont="1" applyFill="1"/>
    <xf numFmtId="0" fontId="7" fillId="7" borderId="0" xfId="0" applyFont="1" applyFill="1" applyAlignment="1">
      <alignment horizontal="center"/>
    </xf>
    <xf numFmtId="0" fontId="2" fillId="0" borderId="0" xfId="0" applyFont="1"/>
    <xf numFmtId="6" fontId="0" fillId="0" borderId="0" xfId="0" applyNumberFormat="1"/>
    <xf numFmtId="164" fontId="0" fillId="0" borderId="0" xfId="0" applyNumberFormat="1"/>
    <xf numFmtId="0" fontId="6" fillId="7" borderId="0" xfId="0" applyFont="1" applyFill="1" applyAlignment="1">
      <alignment horizontal="center" vertical="center" wrapText="1"/>
    </xf>
    <xf numFmtId="165" fontId="0" fillId="0" borderId="0" xfId="2" applyNumberFormat="1" applyFont="1"/>
    <xf numFmtId="0" fontId="0" fillId="0" borderId="0" xfId="0" applyAlignment="1">
      <alignment horizontal="center"/>
    </xf>
    <xf numFmtId="0" fontId="6" fillId="1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6" borderId="0" xfId="0" applyFill="1"/>
    <xf numFmtId="0" fontId="5" fillId="4" borderId="0" xfId="0" applyFont="1" applyFill="1"/>
    <xf numFmtId="1" fontId="0" fillId="9" borderId="0" xfId="2" applyNumberFormat="1" applyFont="1" applyFill="1"/>
    <xf numFmtId="1" fontId="0" fillId="0" borderId="0" xfId="2" applyNumberFormat="1" applyFont="1"/>
    <xf numFmtId="1" fontId="0" fillId="12" borderId="0" xfId="2" applyNumberFormat="1" applyFont="1" applyFill="1"/>
    <xf numFmtId="1" fontId="0" fillId="11" borderId="0" xfId="2" applyNumberFormat="1" applyFont="1" applyFill="1"/>
    <xf numFmtId="1" fontId="0" fillId="13" borderId="0" xfId="2" applyNumberFormat="1" applyFont="1" applyFill="1"/>
    <xf numFmtId="1" fontId="5" fillId="0" borderId="0" xfId="2" applyNumberFormat="1" applyFont="1"/>
    <xf numFmtId="1" fontId="2" fillId="0" borderId="0" xfId="2" applyNumberFormat="1" applyFont="1"/>
    <xf numFmtId="1" fontId="8" fillId="0" borderId="0" xfId="2" applyNumberFormat="1" applyFont="1"/>
    <xf numFmtId="1" fontId="9" fillId="0" borderId="0" xfId="2" applyNumberFormat="1" applyFont="1"/>
    <xf numFmtId="0" fontId="5" fillId="9" borderId="0" xfId="0" applyFont="1" applyFill="1" applyAlignment="1">
      <alignment horizontal="center"/>
    </xf>
    <xf numFmtId="14" fontId="0" fillId="0" borderId="1" xfId="0" applyNumberFormat="1" applyBorder="1"/>
    <xf numFmtId="14" fontId="0" fillId="11" borderId="1" xfId="0" applyNumberFormat="1" applyFill="1" applyBorder="1"/>
    <xf numFmtId="14" fontId="0" fillId="6" borderId="1" xfId="0" applyNumberFormat="1" applyFill="1" applyBorder="1"/>
    <xf numFmtId="0" fontId="6" fillId="7" borderId="2" xfId="0" applyFont="1" applyFill="1" applyBorder="1" applyAlignment="1">
      <alignment horizontal="center"/>
    </xf>
    <xf numFmtId="0" fontId="0" fillId="9" borderId="0" xfId="0" applyFill="1" applyBorder="1"/>
    <xf numFmtId="1" fontId="0" fillId="9" borderId="0" xfId="2" applyNumberFormat="1" applyFont="1" applyFill="1" applyBorder="1"/>
    <xf numFmtId="0" fontId="0" fillId="0" borderId="0" xfId="0" applyBorder="1"/>
    <xf numFmtId="1" fontId="0" fillId="0" borderId="0" xfId="2" applyNumberFormat="1" applyFont="1" applyBorder="1"/>
    <xf numFmtId="0" fontId="0" fillId="8" borderId="0" xfId="0" applyFill="1" applyBorder="1"/>
    <xf numFmtId="1" fontId="0" fillId="8" borderId="0" xfId="2" applyNumberFormat="1" applyFont="1" applyFill="1" applyBorder="1"/>
    <xf numFmtId="0" fontId="0" fillId="0" borderId="3" xfId="0" applyBorder="1"/>
    <xf numFmtId="1" fontId="0" fillId="0" borderId="3" xfId="2" applyNumberFormat="1" applyFont="1" applyBorder="1"/>
    <xf numFmtId="0" fontId="6" fillId="7" borderId="1" xfId="0" applyFont="1" applyFill="1" applyBorder="1" applyAlignment="1">
      <alignment horizontal="center"/>
    </xf>
    <xf numFmtId="165" fontId="0" fillId="0" borderId="1" xfId="2" applyNumberFormat="1" applyFont="1" applyBorder="1"/>
    <xf numFmtId="166" fontId="0" fillId="0" borderId="1" xfId="0" applyNumberFormat="1" applyBorder="1"/>
    <xf numFmtId="10" fontId="0" fillId="0" borderId="0" xfId="1" applyNumberFormat="1" applyFont="1"/>
    <xf numFmtId="0" fontId="0" fillId="0" borderId="0" xfId="0" applyNumberFormat="1"/>
    <xf numFmtId="0" fontId="2" fillId="14" borderId="5" xfId="0" applyFont="1" applyFill="1" applyBorder="1"/>
    <xf numFmtId="0" fontId="2" fillId="14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14" borderId="4" xfId="0" applyFont="1" applyFill="1" applyBorder="1"/>
    <xf numFmtId="0" fontId="2" fillId="14" borderId="11" xfId="0" applyFont="1" applyFill="1" applyBorder="1"/>
    <xf numFmtId="0" fontId="0" fillId="0" borderId="12" xfId="0" applyBorder="1"/>
    <xf numFmtId="0" fontId="5" fillId="6" borderId="1" xfId="0" applyFont="1" applyFill="1" applyBorder="1"/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11" fillId="0" borderId="0" xfId="0" applyFont="1"/>
    <xf numFmtId="0" fontId="11" fillId="15" borderId="0" xfId="0" applyFont="1" applyFill="1"/>
    <xf numFmtId="0" fontId="0" fillId="15" borderId="0" xfId="0" applyFill="1"/>
    <xf numFmtId="1" fontId="0" fillId="15" borderId="0" xfId="0" applyNumberFormat="1" applyFill="1"/>
    <xf numFmtId="0" fontId="12" fillId="15" borderId="0" xfId="0" applyFont="1" applyFill="1"/>
    <xf numFmtId="0" fontId="12" fillId="0" borderId="0" xfId="0" applyFont="1"/>
    <xf numFmtId="0" fontId="2" fillId="16" borderId="0" xfId="0" applyFont="1" applyFill="1"/>
    <xf numFmtId="0" fontId="0" fillId="0" borderId="0" xfId="0" applyFill="1" applyBorder="1"/>
    <xf numFmtId="49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urrency" xfId="2" builtinId="4"/>
    <cellStyle name="Normal" xfId="0" builtinId="0"/>
    <cellStyle name="Percent" xfId="1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D009E2F-3A68-48F8-85FF-A0D597312C38}" autoFormatId="16" applyNumberFormats="0" applyBorderFormats="0" applyFontFormats="0" applyPatternFormats="0" applyAlignmentFormats="0" applyWidthHeightFormats="0">
  <queryTableRefresh nextId="13">
    <queryTableFields count="12">
      <queryTableField id="1" name="Order ID" tableColumnId="1"/>
      <queryTableField id="2" name="first name" tableColumnId="2"/>
      <queryTableField id="3" name="last name" tableColumnId="3"/>
      <queryTableField id="4" name="Product Name" tableColumnId="4"/>
      <queryTableField id="5" name="Category" tableColumnId="5"/>
      <queryTableField id="6" name="Quantity" tableColumnId="6"/>
      <queryTableField id="7" name="Sales" tableColumnId="7"/>
      <queryTableField id="8" name="Order Date" tableColumnId="8"/>
      <queryTableField id="9" name="City" tableColumnId="9"/>
      <queryTableField id="10" name="Region" tableColumnId="10"/>
      <queryTableField id="11" name="Feedback" tableColumnId="11"/>
      <queryTableField id="12" name="Sales Categor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C9DCFA-1E9A-44DD-8269-5BB794B07BB4}" name="Sheet1__3" displayName="Sheet1__3" ref="A1:L1429" tableType="queryTable" totalsRowShown="0">
  <autoFilter ref="A1:L1429" xr:uid="{99C9DCFA-1E9A-44DD-8269-5BB794B07BB4}"/>
  <tableColumns count="12">
    <tableColumn id="1" xr3:uid="{64ADF5D1-0D1F-40C5-8B4B-F744679B314B}" uniqueName="1" name="Order ID" queryTableFieldId="1" dataDxfId="18"/>
    <tableColumn id="2" xr3:uid="{1577645B-4192-4907-BFD3-CA8E6FD6FF36}" uniqueName="2" name="first name" queryTableFieldId="2" dataDxfId="17"/>
    <tableColumn id="3" xr3:uid="{C897438E-D424-49A2-8C15-AA6E150B9140}" uniqueName="3" name="last name" queryTableFieldId="3" dataDxfId="16"/>
    <tableColumn id="4" xr3:uid="{63221BBB-E845-47E6-9A18-9EDF7196DEBF}" uniqueName="4" name="Product Name" queryTableFieldId="4" dataDxfId="15"/>
    <tableColumn id="5" xr3:uid="{15BA7D8D-310C-4751-BA80-F24A5C63FA61}" uniqueName="5" name="Category" queryTableFieldId="5" dataDxfId="14"/>
    <tableColumn id="6" xr3:uid="{8DFC63E1-A8E5-4136-9110-4BF32308B43B}" uniqueName="6" name="Quantity" queryTableFieldId="6"/>
    <tableColumn id="7" xr3:uid="{4A847F94-3E48-4720-B77F-A64914A95B4B}" uniqueName="7" name="Sales" queryTableFieldId="7"/>
    <tableColumn id="8" xr3:uid="{B3FC227D-0E13-40B9-9682-7DBC928B968F}" uniqueName="8" name="Order Date" queryTableFieldId="8" dataDxfId="13"/>
    <tableColumn id="9" xr3:uid="{09B01460-54BB-4345-8B3F-F3D0558181A5}" uniqueName="9" name="City" queryTableFieldId="9" dataDxfId="12"/>
    <tableColumn id="10" xr3:uid="{1442E16C-CE13-48E7-A665-90C95F278B09}" uniqueName="10" name="Region" queryTableFieldId="10" dataDxfId="11"/>
    <tableColumn id="11" xr3:uid="{C6C2B432-E5B3-40FD-BF73-34224B744C69}" uniqueName="11" name="Feedback" queryTableFieldId="11" dataDxfId="10"/>
    <tableColumn id="12" xr3:uid="{8B6E23EA-1951-4B66-BE95-E5F89F4F5C00}" uniqueName="12" name="Sales Categor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48C6-9603-4A34-BA6D-17D4A4C7BD36}">
  <dimension ref="A1:K20"/>
  <sheetViews>
    <sheetView zoomScale="136" workbookViewId="0">
      <selection activeCell="G13" sqref="G13"/>
    </sheetView>
  </sheetViews>
  <sheetFormatPr defaultRowHeight="14.4" x14ac:dyDescent="0.3"/>
  <cols>
    <col min="1" max="1" width="11.33203125" customWidth="1"/>
    <col min="2" max="2" width="10.44140625" bestFit="1" customWidth="1"/>
    <col min="3" max="3" width="8.88671875" style="15"/>
    <col min="5" max="5" width="10.109375" bestFit="1" customWidth="1"/>
    <col min="6" max="6" width="11.6640625" bestFit="1" customWidth="1"/>
    <col min="8" max="8" width="9.6640625" bestFit="1" customWidth="1"/>
  </cols>
  <sheetData>
    <row r="1" spans="1:11" x14ac:dyDescent="0.3">
      <c r="A1" s="2" t="s">
        <v>0</v>
      </c>
      <c r="B1" s="2" t="s">
        <v>1</v>
      </c>
      <c r="C1" s="1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</row>
    <row r="2" spans="1:11" x14ac:dyDescent="0.3">
      <c r="A2" s="11">
        <v>44197</v>
      </c>
      <c r="B2" t="s">
        <v>7</v>
      </c>
      <c r="C2" s="15">
        <v>5000</v>
      </c>
      <c r="D2" s="15">
        <v>4500</v>
      </c>
      <c r="E2" s="15">
        <v>3900</v>
      </c>
      <c r="F2" s="15">
        <v>3400</v>
      </c>
      <c r="G2" s="15">
        <f>SUM(C2:F2)</f>
        <v>16800</v>
      </c>
      <c r="H2" s="56">
        <f>G2/$G$5</f>
        <v>0.31343283582089554</v>
      </c>
    </row>
    <row r="3" spans="1:11" x14ac:dyDescent="0.3">
      <c r="A3" s="11">
        <v>44289</v>
      </c>
      <c r="B3" t="s">
        <v>8</v>
      </c>
      <c r="C3" s="15">
        <v>3400</v>
      </c>
      <c r="D3" s="15">
        <v>6500</v>
      </c>
      <c r="E3" s="15">
        <v>5000</v>
      </c>
      <c r="F3" s="15">
        <v>5600</v>
      </c>
      <c r="G3" s="15">
        <f t="shared" ref="G3:G4" si="0">SUM(C3:F3)</f>
        <v>20500</v>
      </c>
      <c r="H3" s="56">
        <f t="shared" ref="H3:H4" si="1">G3/$G$5</f>
        <v>0.3824626865671642</v>
      </c>
    </row>
    <row r="4" spans="1:11" x14ac:dyDescent="0.3">
      <c r="A4" s="11">
        <v>44332</v>
      </c>
      <c r="B4" t="s">
        <v>9</v>
      </c>
      <c r="C4" s="15">
        <v>2300</v>
      </c>
      <c r="D4" s="15">
        <v>3500</v>
      </c>
      <c r="E4" s="15">
        <v>6000</v>
      </c>
      <c r="F4" s="15">
        <v>4500</v>
      </c>
      <c r="G4" s="15">
        <f t="shared" si="0"/>
        <v>16300</v>
      </c>
      <c r="H4" s="56">
        <f>G4/$G$5</f>
        <v>0.30410447761194032</v>
      </c>
    </row>
    <row r="5" spans="1:11" x14ac:dyDescent="0.3">
      <c r="F5" s="3" t="s">
        <v>10</v>
      </c>
      <c r="G5" s="15">
        <f>SUM(G2:G4)</f>
        <v>53600</v>
      </c>
      <c r="H5" s="56"/>
    </row>
    <row r="7" spans="1:11" x14ac:dyDescent="0.3">
      <c r="A7" s="72" t="s">
        <v>1714</v>
      </c>
      <c r="B7" s="73"/>
      <c r="C7" s="74"/>
      <c r="D7" s="73"/>
      <c r="E7" s="73"/>
      <c r="F7" s="73"/>
      <c r="G7" s="73"/>
      <c r="H7" s="73"/>
      <c r="I7" s="73"/>
    </row>
    <row r="9" spans="1:11" x14ac:dyDescent="0.3">
      <c r="A9" s="72" t="s">
        <v>1715</v>
      </c>
      <c r="B9" s="73"/>
      <c r="C9" s="74"/>
      <c r="D9" s="73"/>
      <c r="E9" s="73"/>
      <c r="F9" s="73"/>
      <c r="G9" s="73"/>
      <c r="H9" s="73"/>
    </row>
    <row r="11" spans="1:11" x14ac:dyDescent="0.3">
      <c r="E11" s="2" t="s">
        <v>0</v>
      </c>
      <c r="F11" s="2" t="s">
        <v>1</v>
      </c>
      <c r="G11" s="2" t="s">
        <v>2</v>
      </c>
      <c r="H11" s="2" t="s">
        <v>3</v>
      </c>
      <c r="I11" s="2" t="s">
        <v>4</v>
      </c>
      <c r="J11" s="2" t="s">
        <v>5</v>
      </c>
    </row>
    <row r="12" spans="1:11" x14ac:dyDescent="0.3">
      <c r="E12" s="1">
        <v>44197</v>
      </c>
      <c r="F12" t="s">
        <v>7</v>
      </c>
      <c r="G12" s="18">
        <f>C2/$G2</f>
        <v>0.29761904761904762</v>
      </c>
      <c r="H12" s="18">
        <f t="shared" ref="H12:J12" si="2">D2/$G2</f>
        <v>0.26785714285714285</v>
      </c>
      <c r="I12" s="18">
        <f t="shared" si="2"/>
        <v>0.23214285714285715</v>
      </c>
      <c r="J12" s="18">
        <f t="shared" si="2"/>
        <v>0.20238095238095238</v>
      </c>
      <c r="K12" s="15"/>
    </row>
    <row r="13" spans="1:11" x14ac:dyDescent="0.3">
      <c r="E13" s="1">
        <v>44289</v>
      </c>
      <c r="F13" t="s">
        <v>8</v>
      </c>
      <c r="G13" s="18">
        <f>C3/$G3</f>
        <v>0.16585365853658537</v>
      </c>
      <c r="H13" s="18">
        <f t="shared" ref="H13:H14" si="3">D3/$G3</f>
        <v>0.31707317073170732</v>
      </c>
      <c r="I13" s="18">
        <f>E3/$G3</f>
        <v>0.24390243902439024</v>
      </c>
      <c r="J13" s="18">
        <f t="shared" ref="J13:J14" si="4">F3/$G3</f>
        <v>0.27317073170731709</v>
      </c>
    </row>
    <row r="14" spans="1:11" x14ac:dyDescent="0.3">
      <c r="E14" s="1">
        <v>44332</v>
      </c>
      <c r="F14" t="s">
        <v>9</v>
      </c>
      <c r="G14" s="18">
        <f t="shared" ref="G13:G14" si="5">C4/$G4</f>
        <v>0.1411042944785276</v>
      </c>
      <c r="H14" s="18">
        <f t="shared" si="3"/>
        <v>0.21472392638036811</v>
      </c>
      <c r="I14" s="18">
        <f>E4/$G4</f>
        <v>0.36809815950920244</v>
      </c>
      <c r="J14" s="18">
        <f t="shared" si="4"/>
        <v>0.27607361963190186</v>
      </c>
    </row>
    <row r="18" spans="3:6" x14ac:dyDescent="0.3">
      <c r="C18" s="17" t="s">
        <v>12</v>
      </c>
      <c r="D18" s="4" t="s">
        <v>13</v>
      </c>
      <c r="E18" s="4"/>
      <c r="F18" s="4"/>
    </row>
    <row r="19" spans="3:6" x14ac:dyDescent="0.3">
      <c r="C19" s="17" t="s">
        <v>14</v>
      </c>
      <c r="D19" s="4" t="s">
        <v>15</v>
      </c>
      <c r="E19" s="4"/>
      <c r="F19" s="4"/>
    </row>
    <row r="20" spans="3:6" x14ac:dyDescent="0.3">
      <c r="C20" s="17" t="s">
        <v>16</v>
      </c>
      <c r="D20" s="4" t="s">
        <v>17</v>
      </c>
      <c r="E20" s="4"/>
      <c r="F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28D7-3CD9-43EF-8E74-061A2ED093E9}">
  <dimension ref="A3:A12"/>
  <sheetViews>
    <sheetView zoomScale="199" workbookViewId="0">
      <selection activeCell="A3" sqref="A3"/>
    </sheetView>
  </sheetViews>
  <sheetFormatPr defaultRowHeight="14.4" x14ac:dyDescent="0.3"/>
  <cols>
    <col min="1" max="1" width="34.6640625" bestFit="1" customWidth="1"/>
    <col min="2" max="2" width="27.33203125" customWidth="1"/>
    <col min="3" max="3" width="26.6640625" customWidth="1"/>
  </cols>
  <sheetData>
    <row r="3" spans="1:1" ht="18" x14ac:dyDescent="0.3">
      <c r="A3" s="5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D44F-590A-4B53-9252-06CB825D2621}">
  <dimension ref="A1:M41"/>
  <sheetViews>
    <sheetView topLeftCell="A5" zoomScale="128" workbookViewId="0">
      <selection activeCell="D17" sqref="D17:F23"/>
    </sheetView>
  </sheetViews>
  <sheetFormatPr defaultRowHeight="14.4" x14ac:dyDescent="0.3"/>
  <cols>
    <col min="1" max="1" width="15.6640625" customWidth="1"/>
    <col min="2" max="2" width="14" customWidth="1"/>
    <col min="3" max="3" width="15" customWidth="1"/>
    <col min="7" max="7" width="25" customWidth="1"/>
    <col min="8" max="8" width="19.88671875" customWidth="1"/>
  </cols>
  <sheetData>
    <row r="1" spans="1:13" x14ac:dyDescent="0.3">
      <c r="A1" s="9" t="s">
        <v>28</v>
      </c>
      <c r="B1" s="9" t="s">
        <v>64</v>
      </c>
      <c r="C1" s="9" t="s">
        <v>65</v>
      </c>
      <c r="E1" s="9"/>
      <c r="G1" s="9" t="s">
        <v>28</v>
      </c>
      <c r="H1" s="9" t="s">
        <v>186</v>
      </c>
    </row>
    <row r="2" spans="1:13" x14ac:dyDescent="0.3">
      <c r="A2" s="8" t="s">
        <v>33</v>
      </c>
      <c r="B2" s="79" t="s">
        <v>34</v>
      </c>
      <c r="C2" t="s">
        <v>1823</v>
      </c>
      <c r="G2" s="8"/>
    </row>
    <row r="3" spans="1:13" x14ac:dyDescent="0.3">
      <c r="A3" s="8" t="s">
        <v>32</v>
      </c>
      <c r="B3" s="79" t="s">
        <v>1824</v>
      </c>
      <c r="C3" t="s">
        <v>1825</v>
      </c>
      <c r="G3" s="8"/>
    </row>
    <row r="4" spans="1:13" x14ac:dyDescent="0.3">
      <c r="A4" s="10" t="s">
        <v>30</v>
      </c>
      <c r="B4" s="79" t="s">
        <v>1826</v>
      </c>
      <c r="C4" t="s">
        <v>184</v>
      </c>
      <c r="G4" s="8"/>
    </row>
    <row r="5" spans="1:13" x14ac:dyDescent="0.3">
      <c r="A5" s="10" t="s">
        <v>31</v>
      </c>
      <c r="B5" s="79" t="s">
        <v>1827</v>
      </c>
      <c r="C5" t="s">
        <v>1828</v>
      </c>
      <c r="G5" s="8"/>
    </row>
    <row r="7" spans="1:13" x14ac:dyDescent="0.3">
      <c r="A7" s="75" t="s">
        <v>1716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</row>
    <row r="11" spans="1:13" x14ac:dyDescent="0.3">
      <c r="A11" s="14" t="s">
        <v>35</v>
      </c>
      <c r="C11" s="13" t="s">
        <v>29</v>
      </c>
      <c r="D11" s="13" t="s">
        <v>51</v>
      </c>
      <c r="E11" s="13" t="s">
        <v>52</v>
      </c>
      <c r="G11" s="6" t="s">
        <v>41</v>
      </c>
      <c r="I11" t="s">
        <v>44</v>
      </c>
      <c r="J11" t="s">
        <v>45</v>
      </c>
      <c r="K11" t="s">
        <v>46</v>
      </c>
    </row>
    <row r="12" spans="1:13" ht="13.2" customHeight="1" x14ac:dyDescent="0.3">
      <c r="A12" s="7" t="s">
        <v>36</v>
      </c>
      <c r="C12" t="s">
        <v>185</v>
      </c>
      <c r="D12">
        <v>21</v>
      </c>
      <c r="E12" t="s">
        <v>1847</v>
      </c>
      <c r="G12" s="7" t="s">
        <v>42</v>
      </c>
    </row>
    <row r="13" spans="1:13" ht="12.6" customHeight="1" x14ac:dyDescent="0.3">
      <c r="A13" s="7" t="s">
        <v>37</v>
      </c>
      <c r="C13" t="s">
        <v>1826</v>
      </c>
      <c r="D13">
        <v>25</v>
      </c>
      <c r="E13" t="s">
        <v>1848</v>
      </c>
      <c r="G13" s="7" t="s">
        <v>43</v>
      </c>
    </row>
    <row r="14" spans="1:13" ht="15" customHeight="1" x14ac:dyDescent="0.3">
      <c r="A14" s="7" t="s">
        <v>38</v>
      </c>
      <c r="C14" t="s">
        <v>1827</v>
      </c>
      <c r="D14">
        <v>30</v>
      </c>
      <c r="E14" t="s">
        <v>1849</v>
      </c>
    </row>
    <row r="15" spans="1:13" x14ac:dyDescent="0.3">
      <c r="A15" s="7" t="s">
        <v>39</v>
      </c>
      <c r="C15" t="s">
        <v>176</v>
      </c>
      <c r="D15">
        <v>25</v>
      </c>
      <c r="E15" t="s">
        <v>1848</v>
      </c>
    </row>
    <row r="16" spans="1:13" ht="16.5" customHeight="1" x14ac:dyDescent="0.3">
      <c r="A16" s="7" t="s">
        <v>40</v>
      </c>
      <c r="C16" t="s">
        <v>34</v>
      </c>
      <c r="D16">
        <v>34</v>
      </c>
      <c r="E16" t="s">
        <v>1848</v>
      </c>
    </row>
    <row r="18" spans="1:11" x14ac:dyDescent="0.3">
      <c r="G18" s="6" t="s">
        <v>47</v>
      </c>
      <c r="I18" t="s">
        <v>48</v>
      </c>
      <c r="J18" t="s">
        <v>49</v>
      </c>
      <c r="K18" t="s">
        <v>50</v>
      </c>
    </row>
    <row r="19" spans="1:11" x14ac:dyDescent="0.3">
      <c r="G19" s="12">
        <v>46002</v>
      </c>
    </row>
    <row r="20" spans="1:11" x14ac:dyDescent="0.3">
      <c r="G20" s="12">
        <v>45420</v>
      </c>
    </row>
    <row r="23" spans="1:11" x14ac:dyDescent="0.3">
      <c r="A23" s="6"/>
    </row>
    <row r="24" spans="1:11" x14ac:dyDescent="0.3">
      <c r="A24" s="7"/>
      <c r="H24" s="21"/>
      <c r="I24" s="21"/>
      <c r="J24" s="21"/>
    </row>
    <row r="25" spans="1:11" x14ac:dyDescent="0.3">
      <c r="A25" s="7"/>
    </row>
    <row r="26" spans="1:11" x14ac:dyDescent="0.3">
      <c r="A26" s="7"/>
    </row>
    <row r="27" spans="1:11" x14ac:dyDescent="0.3">
      <c r="A27" s="7"/>
    </row>
    <row r="30" spans="1:11" x14ac:dyDescent="0.3">
      <c r="A30" t="s">
        <v>154</v>
      </c>
    </row>
    <row r="32" spans="1:11" x14ac:dyDescent="0.3">
      <c r="A32" t="s">
        <v>188</v>
      </c>
    </row>
    <row r="33" spans="1:1" x14ac:dyDescent="0.3">
      <c r="A33" t="s">
        <v>189</v>
      </c>
    </row>
    <row r="34" spans="1:1" x14ac:dyDescent="0.3">
      <c r="A34" t="s">
        <v>190</v>
      </c>
    </row>
    <row r="35" spans="1:1" x14ac:dyDescent="0.3">
      <c r="A35" t="s">
        <v>191</v>
      </c>
    </row>
    <row r="36" spans="1:1" x14ac:dyDescent="0.3">
      <c r="A36" t="s">
        <v>192</v>
      </c>
    </row>
    <row r="39" spans="1:1" x14ac:dyDescent="0.3">
      <c r="A39" s="22"/>
    </row>
    <row r="41" spans="1:1" x14ac:dyDescent="0.3">
      <c r="A41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2053-1466-475D-87CD-696A486973D9}">
  <dimension ref="C3:F14"/>
  <sheetViews>
    <sheetView zoomScale="151" workbookViewId="0">
      <selection activeCell="C11" sqref="C11:C14"/>
    </sheetView>
  </sheetViews>
  <sheetFormatPr defaultRowHeight="15.6" customHeight="1" x14ac:dyDescent="0.3"/>
  <cols>
    <col min="3" max="3" width="18.109375" customWidth="1"/>
    <col min="4" max="5" width="18.88671875" customWidth="1"/>
    <col min="6" max="6" width="15.77734375" customWidth="1"/>
  </cols>
  <sheetData>
    <row r="3" spans="3:6" ht="15.6" customHeight="1" x14ac:dyDescent="0.3">
      <c r="C3" s="9" t="s">
        <v>28</v>
      </c>
      <c r="D3" s="9" t="s">
        <v>64</v>
      </c>
      <c r="E3" s="9" t="s">
        <v>65</v>
      </c>
    </row>
    <row r="4" spans="3:6" ht="15.6" customHeight="1" x14ac:dyDescent="0.3">
      <c r="C4" s="8" t="s">
        <v>33</v>
      </c>
      <c r="D4" s="79" t="s">
        <v>34</v>
      </c>
      <c r="E4" t="s">
        <v>1823</v>
      </c>
    </row>
    <row r="5" spans="3:6" ht="15.6" customHeight="1" x14ac:dyDescent="0.3">
      <c r="C5" s="8" t="s">
        <v>32</v>
      </c>
      <c r="D5" s="79" t="s">
        <v>1824</v>
      </c>
      <c r="E5" t="s">
        <v>1825</v>
      </c>
    </row>
    <row r="6" spans="3:6" ht="15.6" customHeight="1" x14ac:dyDescent="0.3">
      <c r="C6" s="10" t="s">
        <v>30</v>
      </c>
      <c r="D6" s="79" t="s">
        <v>1826</v>
      </c>
      <c r="E6" t="s">
        <v>184</v>
      </c>
    </row>
    <row r="7" spans="3:6" ht="15.6" customHeight="1" x14ac:dyDescent="0.3">
      <c r="C7" s="10" t="s">
        <v>31</v>
      </c>
      <c r="D7" s="79" t="s">
        <v>1827</v>
      </c>
      <c r="E7" t="s">
        <v>1828</v>
      </c>
    </row>
    <row r="10" spans="3:6" ht="15.6" customHeight="1" x14ac:dyDescent="0.3">
      <c r="C10" s="9" t="s">
        <v>28</v>
      </c>
      <c r="E10" s="9" t="s">
        <v>64</v>
      </c>
      <c r="F10" s="9" t="s">
        <v>65</v>
      </c>
    </row>
    <row r="11" spans="3:6" ht="15.6" customHeight="1" x14ac:dyDescent="0.3">
      <c r="C11" s="8" t="s">
        <v>33</v>
      </c>
      <c r="E11" t="s">
        <v>34</v>
      </c>
      <c r="F11" t="s">
        <v>1823</v>
      </c>
    </row>
    <row r="12" spans="3:6" ht="15.6" customHeight="1" x14ac:dyDescent="0.3">
      <c r="C12" s="8" t="s">
        <v>32</v>
      </c>
      <c r="E12" t="s">
        <v>1824</v>
      </c>
      <c r="F12" t="s">
        <v>1825</v>
      </c>
    </row>
    <row r="13" spans="3:6" ht="15.6" customHeight="1" x14ac:dyDescent="0.3">
      <c r="C13" s="10" t="s">
        <v>30</v>
      </c>
      <c r="E13" t="s">
        <v>1826</v>
      </c>
      <c r="F13" t="s">
        <v>184</v>
      </c>
    </row>
    <row r="14" spans="3:6" ht="15.6" customHeight="1" x14ac:dyDescent="0.3">
      <c r="C14" s="10" t="s">
        <v>31</v>
      </c>
      <c r="E14" t="s">
        <v>1827</v>
      </c>
      <c r="F14" t="s">
        <v>1828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3306-5BCE-4BA4-A553-123DE8510844}">
  <dimension ref="A1:J19"/>
  <sheetViews>
    <sheetView zoomScale="144" zoomScaleNormal="107" workbookViewId="0">
      <selection activeCell="C4" sqref="C4"/>
    </sheetView>
  </sheetViews>
  <sheetFormatPr defaultRowHeight="14.4" x14ac:dyDescent="0.3"/>
  <cols>
    <col min="1" max="1" width="14.21875" bestFit="1" customWidth="1"/>
    <col min="2" max="2" width="7.44140625" bestFit="1" customWidth="1"/>
    <col min="3" max="3" width="19.5546875" bestFit="1" customWidth="1"/>
    <col min="4" max="4" width="14.109375" bestFit="1" customWidth="1"/>
    <col min="10" max="10" width="35.5546875" bestFit="1" customWidth="1"/>
    <col min="11" max="11" width="14.44140625" customWidth="1"/>
    <col min="13" max="13" width="10.33203125" bestFit="1" customWidth="1"/>
  </cols>
  <sheetData>
    <row r="1" spans="1:10" ht="18" x14ac:dyDescent="0.35">
      <c r="A1" s="19" t="s">
        <v>82</v>
      </c>
      <c r="B1" s="19" t="s">
        <v>29</v>
      </c>
      <c r="C1" s="19" t="s">
        <v>83</v>
      </c>
      <c r="D1" s="19" t="s">
        <v>84</v>
      </c>
      <c r="E1" s="19"/>
    </row>
    <row r="2" spans="1:10" x14ac:dyDescent="0.3">
      <c r="A2">
        <v>101</v>
      </c>
      <c r="B2" t="s">
        <v>66</v>
      </c>
      <c r="C2" t="s">
        <v>72</v>
      </c>
      <c r="D2" t="s">
        <v>73</v>
      </c>
    </row>
    <row r="3" spans="1:10" x14ac:dyDescent="0.3">
      <c r="A3">
        <v>102</v>
      </c>
      <c r="B3" t="s">
        <v>67</v>
      </c>
      <c r="C3" t="s">
        <v>74</v>
      </c>
      <c r="D3" t="s">
        <v>75</v>
      </c>
    </row>
    <row r="4" spans="1:10" x14ac:dyDescent="0.3">
      <c r="A4">
        <v>103</v>
      </c>
      <c r="B4" t="s">
        <v>68</v>
      </c>
      <c r="C4" t="s">
        <v>76</v>
      </c>
      <c r="D4" t="s">
        <v>77</v>
      </c>
      <c r="J4" t="s">
        <v>157</v>
      </c>
    </row>
    <row r="5" spans="1:10" x14ac:dyDescent="0.3">
      <c r="A5">
        <v>104</v>
      </c>
      <c r="B5" t="s">
        <v>69</v>
      </c>
      <c r="C5" t="s">
        <v>78</v>
      </c>
      <c r="D5" t="s">
        <v>79</v>
      </c>
    </row>
    <row r="6" spans="1:10" x14ac:dyDescent="0.3">
      <c r="A6">
        <v>107</v>
      </c>
      <c r="B6" t="s">
        <v>70</v>
      </c>
      <c r="C6" t="s">
        <v>80</v>
      </c>
      <c r="D6" t="s">
        <v>77</v>
      </c>
    </row>
    <row r="7" spans="1:10" x14ac:dyDescent="0.3">
      <c r="A7">
        <v>108</v>
      </c>
      <c r="B7" t="s">
        <v>71</v>
      </c>
      <c r="C7" t="s">
        <v>81</v>
      </c>
      <c r="D7" t="s">
        <v>79</v>
      </c>
    </row>
    <row r="19" ht="16.95" customHeight="1" x14ac:dyDescent="0.3"/>
  </sheetData>
  <sortState xmlns:xlrd2="http://schemas.microsoft.com/office/spreadsheetml/2017/richdata2" ref="J17:L20">
    <sortCondition descending="1" ref="K17:K20"/>
  </sortState>
  <conditionalFormatting sqref="A2:A7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43DE-E781-4CC7-A8EA-06AA79A65198}">
  <dimension ref="A1:R41"/>
  <sheetViews>
    <sheetView zoomScale="86" workbookViewId="0">
      <selection activeCell="J16" sqref="J16"/>
    </sheetView>
  </sheetViews>
  <sheetFormatPr defaultRowHeight="14.4" x14ac:dyDescent="0.3"/>
  <cols>
    <col min="1" max="1" width="14" bestFit="1" customWidth="1"/>
    <col min="2" max="2" width="7.44140625" bestFit="1" customWidth="1"/>
    <col min="3" max="3" width="21.21875" bestFit="1" customWidth="1"/>
    <col min="4" max="4" width="25.88671875" customWidth="1"/>
    <col min="5" max="5" width="13.88671875" bestFit="1" customWidth="1"/>
    <col min="7" max="7" width="18.44140625" customWidth="1"/>
    <col min="8" max="8" width="16.88671875" bestFit="1" customWidth="1"/>
    <col min="9" max="10" width="16.44140625" bestFit="1" customWidth="1"/>
    <col min="11" max="11" width="16.77734375" bestFit="1" customWidth="1"/>
  </cols>
  <sheetData>
    <row r="1" spans="1:18" ht="18" x14ac:dyDescent="0.35">
      <c r="A1" s="20" t="s">
        <v>82</v>
      </c>
      <c r="B1" s="20" t="s">
        <v>29</v>
      </c>
      <c r="C1" s="20" t="s">
        <v>83</v>
      </c>
      <c r="D1" s="20" t="s">
        <v>85</v>
      </c>
      <c r="E1" s="20" t="s">
        <v>84</v>
      </c>
      <c r="F1" s="20" t="s">
        <v>86</v>
      </c>
      <c r="G1" s="20" t="s">
        <v>1850</v>
      </c>
      <c r="H1" s="20" t="s">
        <v>1829</v>
      </c>
    </row>
    <row r="2" spans="1:18" x14ac:dyDescent="0.3">
      <c r="A2">
        <v>101</v>
      </c>
      <c r="B2" t="s">
        <v>87</v>
      </c>
      <c r="C2" t="s">
        <v>88</v>
      </c>
      <c r="D2">
        <v>9876512340</v>
      </c>
      <c r="E2" t="s">
        <v>73</v>
      </c>
      <c r="F2" t="s">
        <v>89</v>
      </c>
      <c r="G2" t="str">
        <f>CONCATENATE(B2,"-",E2)</f>
        <v>Aarav N-HR</v>
      </c>
      <c r="H2" t="str">
        <f>_xlfn.CONCAT(E2,"-",F2)</f>
        <v>HR-Bangalore</v>
      </c>
      <c r="N2" t="s">
        <v>118</v>
      </c>
    </row>
    <row r="3" spans="1:18" x14ac:dyDescent="0.3">
      <c r="A3">
        <v>102</v>
      </c>
      <c r="B3" t="s">
        <v>90</v>
      </c>
      <c r="C3" t="s">
        <v>91</v>
      </c>
      <c r="D3">
        <v>9898745632</v>
      </c>
      <c r="E3" t="s">
        <v>75</v>
      </c>
      <c r="F3" t="s">
        <v>92</v>
      </c>
      <c r="G3" t="str">
        <f>CONCATENATE(B3,"-",E3)</f>
        <v>Diya S-Finance</v>
      </c>
      <c r="H3" t="str">
        <f t="shared" ref="H3:H41" si="0">_xlfn.CONCAT(E3,"-",F3)</f>
        <v>Finance-Chennai</v>
      </c>
      <c r="N3" t="s">
        <v>119</v>
      </c>
      <c r="R3">
        <v>13</v>
      </c>
    </row>
    <row r="4" spans="1:18" x14ac:dyDescent="0.3">
      <c r="A4">
        <v>103</v>
      </c>
      <c r="B4" t="s">
        <v>93</v>
      </c>
      <c r="C4" t="s">
        <v>94</v>
      </c>
      <c r="D4">
        <v>9823456781</v>
      </c>
      <c r="E4" t="s">
        <v>77</v>
      </c>
      <c r="F4" t="s">
        <v>95</v>
      </c>
      <c r="G4" t="str">
        <f>CONCATENATE(B4,"-",E4)</f>
        <v>Kiran M-IT</v>
      </c>
      <c r="H4" t="str">
        <f t="shared" si="0"/>
        <v>IT-Delhi</v>
      </c>
      <c r="K4" t="str" cm="1">
        <f t="array" ref="K4:K9">_xlfn.UNIQUE(H2:H41)</f>
        <v>HR-Bangalore</v>
      </c>
      <c r="L4">
        <f>COUNTIF($H$2:$H$41,K4)</f>
        <v>10</v>
      </c>
    </row>
    <row r="5" spans="1:18" x14ac:dyDescent="0.3">
      <c r="A5">
        <v>104</v>
      </c>
      <c r="B5" t="s">
        <v>96</v>
      </c>
      <c r="C5" t="s">
        <v>97</v>
      </c>
      <c r="D5">
        <v>9832145678</v>
      </c>
      <c r="E5" t="s">
        <v>73</v>
      </c>
      <c r="F5" t="s">
        <v>89</v>
      </c>
      <c r="G5" t="str">
        <f>CONCATENATE(B5,"-",E5)</f>
        <v>Meera K-HR</v>
      </c>
      <c r="H5" t="str">
        <f t="shared" si="0"/>
        <v>HR-Bangalore</v>
      </c>
      <c r="K5" t="str">
        <v>Finance-Chennai</v>
      </c>
      <c r="L5">
        <f t="shared" ref="L5:L9" si="1">COUNTIF($H$2:$H$41,K5)</f>
        <v>8</v>
      </c>
      <c r="N5" t="s">
        <v>120</v>
      </c>
    </row>
    <row r="6" spans="1:18" x14ac:dyDescent="0.3">
      <c r="A6">
        <v>105</v>
      </c>
      <c r="B6" t="s">
        <v>98</v>
      </c>
      <c r="C6" t="s">
        <v>99</v>
      </c>
      <c r="D6">
        <v>9876543021</v>
      </c>
      <c r="E6" t="s">
        <v>79</v>
      </c>
      <c r="F6" t="s">
        <v>100</v>
      </c>
      <c r="G6" t="str">
        <f>CONCATENATE(B6,"-",E6)</f>
        <v>Rahul P-Marketing</v>
      </c>
      <c r="H6" t="str">
        <f t="shared" si="0"/>
        <v>Marketing-Mumbai</v>
      </c>
      <c r="K6" t="str">
        <v>IT-Delhi</v>
      </c>
      <c r="L6">
        <f t="shared" si="1"/>
        <v>11</v>
      </c>
    </row>
    <row r="7" spans="1:18" x14ac:dyDescent="0.3">
      <c r="A7">
        <v>106</v>
      </c>
      <c r="B7" t="s">
        <v>101</v>
      </c>
      <c r="C7" t="s">
        <v>102</v>
      </c>
      <c r="D7">
        <v>9845632109</v>
      </c>
      <c r="E7" t="s">
        <v>75</v>
      </c>
      <c r="F7" t="s">
        <v>92</v>
      </c>
      <c r="G7" t="str">
        <f>CONCATENATE(B7,"-",E7)</f>
        <v>Asha T-Finance</v>
      </c>
      <c r="H7" t="str">
        <f t="shared" si="0"/>
        <v>Finance-Chennai</v>
      </c>
      <c r="K7" t="str">
        <v>Marketing-Mumbai</v>
      </c>
      <c r="L7">
        <f t="shared" si="1"/>
        <v>3</v>
      </c>
    </row>
    <row r="8" spans="1:18" x14ac:dyDescent="0.3">
      <c r="A8">
        <v>107</v>
      </c>
      <c r="B8" t="s">
        <v>103</v>
      </c>
      <c r="C8" t="s">
        <v>104</v>
      </c>
      <c r="D8">
        <v>9876501290</v>
      </c>
      <c r="E8" t="s">
        <v>77</v>
      </c>
      <c r="F8" t="s">
        <v>95</v>
      </c>
      <c r="G8" t="str">
        <f>CONCATENATE(B8,"-",E8)</f>
        <v>Arjun L-IT</v>
      </c>
      <c r="H8" t="str">
        <f t="shared" si="0"/>
        <v>IT-Delhi</v>
      </c>
      <c r="K8" t="str">
        <v>IT-Pune</v>
      </c>
      <c r="L8">
        <f t="shared" si="1"/>
        <v>6</v>
      </c>
      <c r="N8" t="s">
        <v>121</v>
      </c>
    </row>
    <row r="9" spans="1:18" x14ac:dyDescent="0.3">
      <c r="A9">
        <v>108</v>
      </c>
      <c r="B9" t="s">
        <v>96</v>
      </c>
      <c r="C9" t="s">
        <v>97</v>
      </c>
      <c r="D9">
        <v>9832145678</v>
      </c>
      <c r="E9" t="s">
        <v>73</v>
      </c>
      <c r="F9" t="s">
        <v>89</v>
      </c>
      <c r="G9" t="str">
        <f>CONCATENATE(B9,"-",E9)</f>
        <v>Meera K-HR</v>
      </c>
      <c r="H9" t="str">
        <f t="shared" si="0"/>
        <v>HR-Bangalore</v>
      </c>
      <c r="K9" t="str">
        <v>Marketing-Pune</v>
      </c>
      <c r="L9">
        <f t="shared" si="1"/>
        <v>2</v>
      </c>
      <c r="N9" t="s">
        <v>122</v>
      </c>
    </row>
    <row r="10" spans="1:18" x14ac:dyDescent="0.3">
      <c r="A10">
        <v>109</v>
      </c>
      <c r="B10" t="s">
        <v>87</v>
      </c>
      <c r="C10" t="s">
        <v>88</v>
      </c>
      <c r="D10">
        <v>9876512340</v>
      </c>
      <c r="E10" t="s">
        <v>73</v>
      </c>
      <c r="F10" t="s">
        <v>89</v>
      </c>
      <c r="G10" t="str">
        <f>CONCATENATE(B10,"-",E10)</f>
        <v>Aarav N-HR</v>
      </c>
      <c r="H10" t="str">
        <f t="shared" si="0"/>
        <v>HR-Bangalore</v>
      </c>
    </row>
    <row r="11" spans="1:18" x14ac:dyDescent="0.3">
      <c r="A11">
        <v>110</v>
      </c>
      <c r="B11" t="s">
        <v>90</v>
      </c>
      <c r="C11" t="s">
        <v>91</v>
      </c>
      <c r="D11">
        <v>9898745632</v>
      </c>
      <c r="E11" t="s">
        <v>75</v>
      </c>
      <c r="F11" t="s">
        <v>92</v>
      </c>
      <c r="G11" t="str">
        <f>CONCATENATE(B11,"-",E11)</f>
        <v>Diya S-Finance</v>
      </c>
      <c r="H11" t="str">
        <f t="shared" si="0"/>
        <v>Finance-Chennai</v>
      </c>
      <c r="N11" t="s">
        <v>123</v>
      </c>
    </row>
    <row r="12" spans="1:18" x14ac:dyDescent="0.3">
      <c r="A12">
        <v>111</v>
      </c>
      <c r="B12" t="s">
        <v>105</v>
      </c>
      <c r="C12" t="s">
        <v>106</v>
      </c>
      <c r="D12">
        <v>9898745633</v>
      </c>
      <c r="E12" t="s">
        <v>77</v>
      </c>
      <c r="F12" t="s">
        <v>107</v>
      </c>
      <c r="G12" t="str">
        <f>CONCATENATE(B12,"-",E12)</f>
        <v>Neha R-IT</v>
      </c>
      <c r="H12" t="str">
        <f t="shared" si="0"/>
        <v>IT-Pune</v>
      </c>
      <c r="N12" t="s">
        <v>124</v>
      </c>
    </row>
    <row r="13" spans="1:18" x14ac:dyDescent="0.3">
      <c r="A13">
        <v>112</v>
      </c>
      <c r="B13" t="s">
        <v>108</v>
      </c>
      <c r="C13" t="s">
        <v>109</v>
      </c>
      <c r="D13">
        <v>9823400000</v>
      </c>
      <c r="E13" t="s">
        <v>77</v>
      </c>
      <c r="F13" t="s">
        <v>95</v>
      </c>
      <c r="G13" t="str">
        <f>CONCATENATE(B13,"-",E13)</f>
        <v>Sajan P-IT</v>
      </c>
      <c r="H13" t="str">
        <f t="shared" si="0"/>
        <v>IT-Delhi</v>
      </c>
    </row>
    <row r="14" spans="1:18" x14ac:dyDescent="0.3">
      <c r="A14">
        <v>113</v>
      </c>
      <c r="B14" t="s">
        <v>93</v>
      </c>
      <c r="C14" t="s">
        <v>94</v>
      </c>
      <c r="D14">
        <v>9823456781</v>
      </c>
      <c r="E14" t="s">
        <v>77</v>
      </c>
      <c r="F14" t="s">
        <v>95</v>
      </c>
      <c r="G14" t="str">
        <f>CONCATENATE(B14,"-",E14)</f>
        <v>Kiran M-IT</v>
      </c>
      <c r="H14" t="str">
        <f t="shared" si="0"/>
        <v>IT-Delhi</v>
      </c>
      <c r="N14" t="s">
        <v>125</v>
      </c>
    </row>
    <row r="15" spans="1:18" x14ac:dyDescent="0.3">
      <c r="A15">
        <v>114</v>
      </c>
      <c r="B15" t="s">
        <v>101</v>
      </c>
      <c r="C15" t="s">
        <v>102</v>
      </c>
      <c r="D15">
        <v>9845632109</v>
      </c>
      <c r="E15" t="s">
        <v>75</v>
      </c>
      <c r="F15" t="s">
        <v>92</v>
      </c>
      <c r="G15" t="str">
        <f>CONCATENATE(B15,"-",E15)</f>
        <v>Asha T-Finance</v>
      </c>
      <c r="H15" t="str">
        <f t="shared" si="0"/>
        <v>Finance-Chennai</v>
      </c>
      <c r="N15" t="s">
        <v>126</v>
      </c>
    </row>
    <row r="16" spans="1:18" x14ac:dyDescent="0.3">
      <c r="A16">
        <v>115</v>
      </c>
      <c r="B16" t="s">
        <v>98</v>
      </c>
      <c r="C16" t="s">
        <v>99</v>
      </c>
      <c r="D16">
        <v>9876543021</v>
      </c>
      <c r="E16" t="s">
        <v>79</v>
      </c>
      <c r="F16" t="s">
        <v>100</v>
      </c>
      <c r="G16" t="str">
        <f>CONCATENATE(B16,"-",E16)</f>
        <v>Rahul P-Marketing</v>
      </c>
      <c r="H16" t="str">
        <f t="shared" si="0"/>
        <v>Marketing-Mumbai</v>
      </c>
    </row>
    <row r="17" spans="1:14" x14ac:dyDescent="0.3">
      <c r="A17">
        <v>116</v>
      </c>
      <c r="B17" t="s">
        <v>110</v>
      </c>
      <c r="C17" t="s">
        <v>111</v>
      </c>
      <c r="D17">
        <v>9823498765</v>
      </c>
      <c r="E17" t="s">
        <v>73</v>
      </c>
      <c r="F17" t="s">
        <v>89</v>
      </c>
      <c r="G17" t="str">
        <f>CONCATENATE(B17,"-",E17)</f>
        <v>Zara Q-HR</v>
      </c>
      <c r="H17" t="str">
        <f t="shared" si="0"/>
        <v>HR-Bangalore</v>
      </c>
      <c r="N17" t="s">
        <v>127</v>
      </c>
    </row>
    <row r="18" spans="1:14" x14ac:dyDescent="0.3">
      <c r="A18">
        <v>117</v>
      </c>
      <c r="B18" t="s">
        <v>112</v>
      </c>
      <c r="C18" t="s">
        <v>113</v>
      </c>
      <c r="D18">
        <v>9876511122</v>
      </c>
      <c r="E18" t="s">
        <v>77</v>
      </c>
      <c r="F18" t="s">
        <v>107</v>
      </c>
      <c r="G18" t="str">
        <f>CONCATENATE(B18,"-",E18)</f>
        <v>Aman J-IT</v>
      </c>
      <c r="H18" t="str">
        <f t="shared" si="0"/>
        <v>IT-Pune</v>
      </c>
      <c r="N18" t="s">
        <v>128</v>
      </c>
    </row>
    <row r="19" spans="1:14" x14ac:dyDescent="0.3">
      <c r="A19">
        <v>118</v>
      </c>
      <c r="B19" t="s">
        <v>105</v>
      </c>
      <c r="C19" t="s">
        <v>106</v>
      </c>
      <c r="D19">
        <v>9898745633</v>
      </c>
      <c r="E19" t="s">
        <v>77</v>
      </c>
      <c r="F19" t="s">
        <v>107</v>
      </c>
      <c r="G19" t="str">
        <f>CONCATENATE(B19,"-",E19)</f>
        <v>Neha R-IT</v>
      </c>
      <c r="H19" t="str">
        <f t="shared" si="0"/>
        <v>IT-Pune</v>
      </c>
    </row>
    <row r="20" spans="1:14" x14ac:dyDescent="0.3">
      <c r="A20">
        <v>119</v>
      </c>
      <c r="B20" t="s">
        <v>108</v>
      </c>
      <c r="C20" t="s">
        <v>109</v>
      </c>
      <c r="D20">
        <v>9823400000</v>
      </c>
      <c r="E20" t="s">
        <v>77</v>
      </c>
      <c r="F20" t="s">
        <v>95</v>
      </c>
      <c r="G20" t="str">
        <f>CONCATENATE(B20,"-",E20)</f>
        <v>Sajan P-IT</v>
      </c>
      <c r="H20" t="str">
        <f t="shared" si="0"/>
        <v>IT-Delhi</v>
      </c>
      <c r="N20" t="s">
        <v>129</v>
      </c>
    </row>
    <row r="21" spans="1:14" x14ac:dyDescent="0.3">
      <c r="A21">
        <v>120</v>
      </c>
      <c r="B21" t="s">
        <v>110</v>
      </c>
      <c r="C21" t="s">
        <v>111</v>
      </c>
      <c r="D21">
        <v>9823498765</v>
      </c>
      <c r="E21" t="s">
        <v>73</v>
      </c>
      <c r="F21" t="s">
        <v>89</v>
      </c>
      <c r="G21" t="str">
        <f>CONCATENATE(B21,"-",E21)</f>
        <v>Zara Q-HR</v>
      </c>
      <c r="H21" t="str">
        <f t="shared" si="0"/>
        <v>HR-Bangalore</v>
      </c>
      <c r="N21" t="s">
        <v>130</v>
      </c>
    </row>
    <row r="22" spans="1:14" x14ac:dyDescent="0.3">
      <c r="A22">
        <v>121</v>
      </c>
      <c r="B22" t="s">
        <v>103</v>
      </c>
      <c r="C22" t="s">
        <v>104</v>
      </c>
      <c r="D22">
        <v>9876501290</v>
      </c>
      <c r="E22" t="s">
        <v>77</v>
      </c>
      <c r="F22" t="s">
        <v>95</v>
      </c>
      <c r="G22" t="str">
        <f>CONCATENATE(B22,"-",E22)</f>
        <v>Arjun L-IT</v>
      </c>
      <c r="H22" t="str">
        <f t="shared" si="0"/>
        <v>IT-Delhi</v>
      </c>
    </row>
    <row r="23" spans="1:14" x14ac:dyDescent="0.3">
      <c r="A23">
        <v>122</v>
      </c>
      <c r="B23" t="s">
        <v>114</v>
      </c>
      <c r="C23" t="s">
        <v>115</v>
      </c>
      <c r="D23">
        <v>9865432109</v>
      </c>
      <c r="E23" t="s">
        <v>79</v>
      </c>
      <c r="F23" t="s">
        <v>107</v>
      </c>
      <c r="G23" t="str">
        <f>CONCATENATE(B23,"-",E23)</f>
        <v>Vinod D-Marketing</v>
      </c>
      <c r="H23" t="str">
        <f t="shared" si="0"/>
        <v>Marketing-Pune</v>
      </c>
      <c r="N23" t="s">
        <v>131</v>
      </c>
    </row>
    <row r="24" spans="1:14" x14ac:dyDescent="0.3">
      <c r="A24">
        <v>123</v>
      </c>
      <c r="B24" t="s">
        <v>96</v>
      </c>
      <c r="C24" t="s">
        <v>97</v>
      </c>
      <c r="D24">
        <v>9832145678</v>
      </c>
      <c r="E24" t="s">
        <v>73</v>
      </c>
      <c r="F24" t="s">
        <v>89</v>
      </c>
      <c r="G24" t="str">
        <f>CONCATENATE(B24,"-",E24)</f>
        <v>Meera K-HR</v>
      </c>
      <c r="H24" t="str">
        <f t="shared" si="0"/>
        <v>HR-Bangalore</v>
      </c>
      <c r="N24" t="s">
        <v>132</v>
      </c>
    </row>
    <row r="25" spans="1:14" x14ac:dyDescent="0.3">
      <c r="A25">
        <v>124</v>
      </c>
      <c r="B25" t="s">
        <v>90</v>
      </c>
      <c r="C25" t="s">
        <v>91</v>
      </c>
      <c r="D25">
        <v>9898745632</v>
      </c>
      <c r="E25" t="s">
        <v>75</v>
      </c>
      <c r="F25" t="s">
        <v>92</v>
      </c>
      <c r="G25" t="str">
        <f>CONCATENATE(B25,"-",E25)</f>
        <v>Diya S-Finance</v>
      </c>
      <c r="H25" t="str">
        <f t="shared" si="0"/>
        <v>Finance-Chennai</v>
      </c>
    </row>
    <row r="26" spans="1:14" x14ac:dyDescent="0.3">
      <c r="A26">
        <v>125</v>
      </c>
      <c r="B26" t="s">
        <v>116</v>
      </c>
      <c r="C26" t="s">
        <v>117</v>
      </c>
      <c r="D26">
        <v>9812345009</v>
      </c>
      <c r="E26" t="s">
        <v>75</v>
      </c>
      <c r="F26" t="s">
        <v>92</v>
      </c>
      <c r="G26" t="str">
        <f>CONCATENATE(B26,"-",E26)</f>
        <v>Sonia M-Finance</v>
      </c>
      <c r="H26" t="str">
        <f t="shared" si="0"/>
        <v>Finance-Chennai</v>
      </c>
      <c r="N26" t="s">
        <v>133</v>
      </c>
    </row>
    <row r="27" spans="1:14" x14ac:dyDescent="0.3">
      <c r="A27">
        <v>126</v>
      </c>
      <c r="B27" t="s">
        <v>112</v>
      </c>
      <c r="C27" t="s">
        <v>113</v>
      </c>
      <c r="D27">
        <v>9876511122</v>
      </c>
      <c r="E27" t="s">
        <v>77</v>
      </c>
      <c r="F27" t="s">
        <v>107</v>
      </c>
      <c r="G27" t="str">
        <f>CONCATENATE(B27,"-",E27)</f>
        <v>Aman J-IT</v>
      </c>
      <c r="H27" t="str">
        <f t="shared" si="0"/>
        <v>IT-Pune</v>
      </c>
      <c r="N27" t="s">
        <v>134</v>
      </c>
    </row>
    <row r="28" spans="1:14" x14ac:dyDescent="0.3">
      <c r="A28">
        <v>127</v>
      </c>
      <c r="B28" t="s">
        <v>105</v>
      </c>
      <c r="C28" t="s">
        <v>106</v>
      </c>
      <c r="D28">
        <v>9898745633</v>
      </c>
      <c r="E28" t="s">
        <v>77</v>
      </c>
      <c r="F28" t="s">
        <v>107</v>
      </c>
      <c r="G28" t="str">
        <f>CONCATENATE(B28,"-",E28)</f>
        <v>Neha R-IT</v>
      </c>
      <c r="H28" t="str">
        <f t="shared" si="0"/>
        <v>IT-Pune</v>
      </c>
    </row>
    <row r="29" spans="1:14" ht="15" x14ac:dyDescent="0.35">
      <c r="A29">
        <v>128</v>
      </c>
      <c r="B29" t="s">
        <v>93</v>
      </c>
      <c r="C29" t="s">
        <v>94</v>
      </c>
      <c r="D29">
        <v>9823456781</v>
      </c>
      <c r="E29" t="s">
        <v>77</v>
      </c>
      <c r="F29" t="s">
        <v>95</v>
      </c>
      <c r="G29" t="str">
        <f>CONCATENATE(B29,"-",E29)</f>
        <v>Kiran M-IT</v>
      </c>
      <c r="H29" t="str">
        <f t="shared" si="0"/>
        <v>IT-Delhi</v>
      </c>
      <c r="N29" t="s">
        <v>135</v>
      </c>
    </row>
    <row r="30" spans="1:14" x14ac:dyDescent="0.3">
      <c r="A30">
        <v>129</v>
      </c>
      <c r="B30" t="s">
        <v>110</v>
      </c>
      <c r="C30" t="s">
        <v>111</v>
      </c>
      <c r="D30">
        <v>9823498765</v>
      </c>
      <c r="E30" t="s">
        <v>73</v>
      </c>
      <c r="F30" t="s">
        <v>89</v>
      </c>
      <c r="G30" t="str">
        <f>CONCATENATE(B30,"-",E30)</f>
        <v>Zara Q-HR</v>
      </c>
      <c r="H30" t="str">
        <f t="shared" si="0"/>
        <v>HR-Bangalore</v>
      </c>
      <c r="N30" t="s">
        <v>136</v>
      </c>
    </row>
    <row r="31" spans="1:14" x14ac:dyDescent="0.3">
      <c r="A31">
        <v>130</v>
      </c>
      <c r="B31" t="s">
        <v>108</v>
      </c>
      <c r="C31" t="s">
        <v>109</v>
      </c>
      <c r="D31">
        <v>9823400000</v>
      </c>
      <c r="E31" t="s">
        <v>77</v>
      </c>
      <c r="F31" t="s">
        <v>95</v>
      </c>
      <c r="G31" t="str">
        <f>CONCATENATE(B31,"-",E31)</f>
        <v>Sajan P-IT</v>
      </c>
      <c r="H31" t="str">
        <f t="shared" si="0"/>
        <v>IT-Delhi</v>
      </c>
      <c r="N31" t="s">
        <v>137</v>
      </c>
    </row>
    <row r="32" spans="1:14" x14ac:dyDescent="0.3">
      <c r="A32">
        <v>131</v>
      </c>
      <c r="B32" t="s">
        <v>101</v>
      </c>
      <c r="C32" t="s">
        <v>102</v>
      </c>
      <c r="D32">
        <v>9845632109</v>
      </c>
      <c r="E32" t="s">
        <v>75</v>
      </c>
      <c r="F32" t="s">
        <v>92</v>
      </c>
      <c r="G32" t="str">
        <f>CONCATENATE(B32,"-",E32)</f>
        <v>Asha T-Finance</v>
      </c>
      <c r="H32" t="str">
        <f t="shared" si="0"/>
        <v>Finance-Chennai</v>
      </c>
    </row>
    <row r="33" spans="1:8" x14ac:dyDescent="0.3">
      <c r="A33">
        <v>132</v>
      </c>
      <c r="B33" t="s">
        <v>103</v>
      </c>
      <c r="C33" t="s">
        <v>104</v>
      </c>
      <c r="D33">
        <v>9876501290</v>
      </c>
      <c r="E33" t="s">
        <v>77</v>
      </c>
      <c r="F33" t="s">
        <v>95</v>
      </c>
      <c r="G33" t="str">
        <f>CONCATENATE(B33,"-",E33)</f>
        <v>Arjun L-IT</v>
      </c>
      <c r="H33" t="str">
        <f t="shared" si="0"/>
        <v>IT-Delhi</v>
      </c>
    </row>
    <row r="34" spans="1:8" x14ac:dyDescent="0.3">
      <c r="A34">
        <v>133</v>
      </c>
      <c r="B34" t="s">
        <v>98</v>
      </c>
      <c r="C34" t="s">
        <v>99</v>
      </c>
      <c r="D34">
        <v>9876543021</v>
      </c>
      <c r="E34" t="s">
        <v>79</v>
      </c>
      <c r="F34" t="s">
        <v>100</v>
      </c>
      <c r="G34" t="str">
        <f>CONCATENATE(B34,"-",E34)</f>
        <v>Rahul P-Marketing</v>
      </c>
      <c r="H34" t="str">
        <f t="shared" si="0"/>
        <v>Marketing-Mumbai</v>
      </c>
    </row>
    <row r="35" spans="1:8" x14ac:dyDescent="0.3">
      <c r="A35">
        <v>134</v>
      </c>
      <c r="B35" t="s">
        <v>87</v>
      </c>
      <c r="C35" t="s">
        <v>88</v>
      </c>
      <c r="D35">
        <v>9876512340</v>
      </c>
      <c r="E35" t="s">
        <v>73</v>
      </c>
      <c r="F35" t="s">
        <v>89</v>
      </c>
      <c r="G35" t="str">
        <f>CONCATENATE(B35,"-",E35)</f>
        <v>Aarav N-HR</v>
      </c>
      <c r="H35" t="str">
        <f t="shared" si="0"/>
        <v>HR-Bangalore</v>
      </c>
    </row>
    <row r="36" spans="1:8" x14ac:dyDescent="0.3">
      <c r="A36">
        <v>135</v>
      </c>
      <c r="B36" t="s">
        <v>116</v>
      </c>
      <c r="C36" t="s">
        <v>117</v>
      </c>
      <c r="D36">
        <v>9812345009</v>
      </c>
      <c r="E36" t="s">
        <v>75</v>
      </c>
      <c r="F36" t="s">
        <v>92</v>
      </c>
      <c r="G36" t="str">
        <f>CONCATENATE(B36,"-",E36)</f>
        <v>Sonia M-Finance</v>
      </c>
      <c r="H36" t="str">
        <f t="shared" si="0"/>
        <v>Finance-Chennai</v>
      </c>
    </row>
    <row r="37" spans="1:8" x14ac:dyDescent="0.3">
      <c r="A37">
        <v>136</v>
      </c>
      <c r="B37" t="s">
        <v>114</v>
      </c>
      <c r="C37" t="s">
        <v>115</v>
      </c>
      <c r="D37">
        <v>9865432109</v>
      </c>
      <c r="E37" t="s">
        <v>79</v>
      </c>
      <c r="F37" t="s">
        <v>107</v>
      </c>
      <c r="G37" t="str">
        <f>CONCATENATE(B37,"-",E37)</f>
        <v>Vinod D-Marketing</v>
      </c>
      <c r="H37" t="str">
        <f t="shared" si="0"/>
        <v>Marketing-Pune</v>
      </c>
    </row>
    <row r="38" spans="1:8" x14ac:dyDescent="0.3">
      <c r="A38">
        <v>137</v>
      </c>
      <c r="B38" t="s">
        <v>112</v>
      </c>
      <c r="C38" t="s">
        <v>113</v>
      </c>
      <c r="D38">
        <v>9876511122</v>
      </c>
      <c r="E38" t="s">
        <v>77</v>
      </c>
      <c r="F38" t="s">
        <v>107</v>
      </c>
      <c r="G38" t="str">
        <f>CONCATENATE(B38,"-",E38)</f>
        <v>Aman J-IT</v>
      </c>
      <c r="H38" t="str">
        <f t="shared" si="0"/>
        <v>IT-Pune</v>
      </c>
    </row>
    <row r="39" spans="1:8" x14ac:dyDescent="0.3">
      <c r="A39">
        <v>138</v>
      </c>
      <c r="B39" t="s">
        <v>96</v>
      </c>
      <c r="C39" t="s">
        <v>97</v>
      </c>
      <c r="D39">
        <v>9832145678</v>
      </c>
      <c r="E39" t="s">
        <v>73</v>
      </c>
      <c r="F39" t="s">
        <v>89</v>
      </c>
      <c r="G39" t="str">
        <f>CONCATENATE(B39,"-",E39)</f>
        <v>Meera K-HR</v>
      </c>
      <c r="H39" t="str">
        <f t="shared" si="0"/>
        <v>HR-Bangalore</v>
      </c>
    </row>
    <row r="40" spans="1:8" x14ac:dyDescent="0.3">
      <c r="A40">
        <v>139</v>
      </c>
      <c r="B40" t="s">
        <v>108</v>
      </c>
      <c r="C40" t="s">
        <v>109</v>
      </c>
      <c r="D40">
        <v>9823400000</v>
      </c>
      <c r="E40" t="s">
        <v>77</v>
      </c>
      <c r="F40" t="s">
        <v>95</v>
      </c>
      <c r="G40" t="str">
        <f>CONCATENATE(B40,"-",E40)</f>
        <v>Sajan P-IT</v>
      </c>
      <c r="H40" t="str">
        <f t="shared" si="0"/>
        <v>IT-Delhi</v>
      </c>
    </row>
    <row r="41" spans="1:8" x14ac:dyDescent="0.3">
      <c r="A41">
        <v>140</v>
      </c>
      <c r="B41" t="s">
        <v>93</v>
      </c>
      <c r="C41" t="s">
        <v>94</v>
      </c>
      <c r="D41">
        <v>9823456781</v>
      </c>
      <c r="E41" t="s">
        <v>77</v>
      </c>
      <c r="F41" t="s">
        <v>95</v>
      </c>
      <c r="G41" t="str">
        <f>CONCATENATE(B41,"-",E41)</f>
        <v>Kiran M-IT</v>
      </c>
      <c r="H41" t="str">
        <f t="shared" si="0"/>
        <v>IT-Delhi</v>
      </c>
    </row>
  </sheetData>
  <conditionalFormatting sqref="J9:J14">
    <cfRule type="top10" dxfId="1" priority="3" rank="1"/>
  </conditionalFormatting>
  <conditionalFormatting sqref="L4:L9">
    <cfRule type="top10" dxfId="0" priority="1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956E-F46C-459B-AD2F-A8AE2A679EFA}">
  <dimension ref="A1:N35"/>
  <sheetViews>
    <sheetView topLeftCell="A16" zoomScale="193" workbookViewId="0">
      <selection activeCell="G26" sqref="G26"/>
    </sheetView>
  </sheetViews>
  <sheetFormatPr defaultRowHeight="14.4" x14ac:dyDescent="0.3"/>
  <cols>
    <col min="1" max="1" width="10.33203125" bestFit="1" customWidth="1"/>
    <col min="9" max="9" width="12.33203125" bestFit="1" customWidth="1"/>
  </cols>
  <sheetData>
    <row r="1" spans="1:14" x14ac:dyDescent="0.3">
      <c r="A1" s="9" t="s">
        <v>53</v>
      </c>
      <c r="B1" s="9" t="s">
        <v>54</v>
      </c>
      <c r="G1" t="s">
        <v>193</v>
      </c>
    </row>
    <row r="2" spans="1:14" x14ac:dyDescent="0.3">
      <c r="A2" t="s">
        <v>55</v>
      </c>
      <c r="B2">
        <v>79</v>
      </c>
      <c r="H2" t="s">
        <v>1831</v>
      </c>
      <c r="I2" t="s">
        <v>183</v>
      </c>
      <c r="K2" t="s">
        <v>187</v>
      </c>
    </row>
    <row r="3" spans="1:14" x14ac:dyDescent="0.3">
      <c r="A3" t="s">
        <v>56</v>
      </c>
      <c r="B3">
        <v>67</v>
      </c>
      <c r="H3" t="s">
        <v>1832</v>
      </c>
      <c r="I3" t="s">
        <v>62</v>
      </c>
    </row>
    <row r="4" spans="1:14" x14ac:dyDescent="0.3">
      <c r="A4" t="s">
        <v>57</v>
      </c>
      <c r="B4">
        <v>70</v>
      </c>
      <c r="H4" t="s">
        <v>1833</v>
      </c>
      <c r="I4" t="s">
        <v>63</v>
      </c>
      <c r="N4" s="67" t="s">
        <v>1830</v>
      </c>
    </row>
    <row r="5" spans="1:14" x14ac:dyDescent="0.3">
      <c r="A5" t="s">
        <v>58</v>
      </c>
      <c r="B5">
        <v>89</v>
      </c>
      <c r="E5">
        <f>SUMIFS(B2:B8,A2:A8,"*y")</f>
        <v>209</v>
      </c>
    </row>
    <row r="6" spans="1:14" x14ac:dyDescent="0.3">
      <c r="A6" t="s">
        <v>59</v>
      </c>
      <c r="B6">
        <v>90</v>
      </c>
      <c r="E6">
        <f>COUNTIFS(A2:A8,"*y")</f>
        <v>3</v>
      </c>
      <c r="F6">
        <f>AVERAGEIFS(B2:B8,A2:A8,"*s*")</f>
        <v>76</v>
      </c>
    </row>
    <row r="7" spans="1:14" x14ac:dyDescent="0.3">
      <c r="A7" t="s">
        <v>60</v>
      </c>
      <c r="B7">
        <v>40</v>
      </c>
    </row>
    <row r="8" spans="1:14" x14ac:dyDescent="0.3">
      <c r="A8" t="s">
        <v>61</v>
      </c>
      <c r="B8">
        <v>100</v>
      </c>
      <c r="E8">
        <f>SUMIFS(B2:B8,A2:A8,"e*")</f>
        <v>100</v>
      </c>
    </row>
    <row r="13" spans="1:14" x14ac:dyDescent="0.3">
      <c r="A13" s="76" t="s">
        <v>1719</v>
      </c>
    </row>
    <row r="14" spans="1:14" x14ac:dyDescent="0.3">
      <c r="A14" s="21"/>
    </row>
    <row r="15" spans="1:14" x14ac:dyDescent="0.3">
      <c r="A15" s="21"/>
    </row>
    <row r="16" spans="1:14" x14ac:dyDescent="0.3">
      <c r="A16" s="76" t="s">
        <v>1717</v>
      </c>
      <c r="C16" s="71" t="s">
        <v>1720</v>
      </c>
    </row>
    <row r="17" spans="1:14" x14ac:dyDescent="0.3">
      <c r="A17" s="76" t="s">
        <v>1718</v>
      </c>
      <c r="C17" s="71" t="s">
        <v>1721</v>
      </c>
      <c r="H17" t="s">
        <v>1834</v>
      </c>
      <c r="I17" t="s">
        <v>1835</v>
      </c>
    </row>
    <row r="18" spans="1:14" x14ac:dyDescent="0.3">
      <c r="H18" t="s">
        <v>1836</v>
      </c>
    </row>
    <row r="21" spans="1:14" x14ac:dyDescent="0.3">
      <c r="C21" s="9" t="s">
        <v>53</v>
      </c>
      <c r="D21" s="9" t="s">
        <v>54</v>
      </c>
    </row>
    <row r="22" spans="1:14" s="47" customFormat="1" x14ac:dyDescent="0.3">
      <c r="A22"/>
      <c r="B22"/>
      <c r="C22" t="s">
        <v>55</v>
      </c>
      <c r="D22">
        <v>79</v>
      </c>
      <c r="E22"/>
      <c r="F22"/>
      <c r="G22">
        <f>COUNTIFS(C22:C28,"M????")</f>
        <v>1</v>
      </c>
      <c r="H22"/>
      <c r="I22"/>
      <c r="J22"/>
      <c r="K22"/>
      <c r="L22"/>
      <c r="M22"/>
      <c r="N22"/>
    </row>
    <row r="23" spans="1:14" x14ac:dyDescent="0.3">
      <c r="C23" t="s">
        <v>56</v>
      </c>
      <c r="D23">
        <v>67</v>
      </c>
    </row>
    <row r="24" spans="1:14" x14ac:dyDescent="0.3">
      <c r="C24" t="s">
        <v>57</v>
      </c>
      <c r="D24">
        <v>70</v>
      </c>
      <c r="F24">
        <f>AVERAGEIF(C22:C28,"E????sh",D22:D28)</f>
        <v>100</v>
      </c>
    </row>
    <row r="25" spans="1:14" x14ac:dyDescent="0.3">
      <c r="C25" t="s">
        <v>58</v>
      </c>
      <c r="D25">
        <v>89</v>
      </c>
      <c r="G25">
        <f>SUMIF(C22:C28,"???????",D22:D28)</f>
        <v>349</v>
      </c>
    </row>
    <row r="26" spans="1:14" x14ac:dyDescent="0.3">
      <c r="C26" t="s">
        <v>59</v>
      </c>
      <c r="D26">
        <v>90</v>
      </c>
    </row>
    <row r="27" spans="1:14" x14ac:dyDescent="0.3">
      <c r="C27" t="s">
        <v>60</v>
      </c>
      <c r="D27">
        <v>40</v>
      </c>
    </row>
    <row r="28" spans="1:14" x14ac:dyDescent="0.3">
      <c r="C28" t="s">
        <v>61</v>
      </c>
      <c r="D28">
        <v>100</v>
      </c>
    </row>
    <row r="35" ht="16.2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0570-9B11-4EB6-8C05-104E96F1BA29}">
  <dimension ref="C1:K103"/>
  <sheetViews>
    <sheetView tabSelected="1" topLeftCell="B1" zoomScale="149" workbookViewId="0">
      <selection activeCell="H2" sqref="H2"/>
    </sheetView>
  </sheetViews>
  <sheetFormatPr defaultRowHeight="14.4" x14ac:dyDescent="0.3"/>
  <cols>
    <col min="3" max="3" width="10.33203125" customWidth="1"/>
    <col min="4" max="4" width="13.6640625" bestFit="1" customWidth="1"/>
    <col min="7" max="7" width="30" bestFit="1" customWidth="1"/>
    <col min="11" max="11" width="21.109375" bestFit="1" customWidth="1"/>
    <col min="12" max="12" width="12.33203125" bestFit="1" customWidth="1"/>
  </cols>
  <sheetData>
    <row r="1" spans="3:11" x14ac:dyDescent="0.3">
      <c r="G1" s="77" t="s">
        <v>1723</v>
      </c>
    </row>
    <row r="2" spans="3:11" x14ac:dyDescent="0.3">
      <c r="G2" t="s">
        <v>1724</v>
      </c>
    </row>
    <row r="3" spans="3:11" x14ac:dyDescent="0.3">
      <c r="C3" t="s">
        <v>210</v>
      </c>
      <c r="D3" t="s">
        <v>1837</v>
      </c>
      <c r="E3" t="s">
        <v>1851</v>
      </c>
      <c r="G3" t="s">
        <v>1725</v>
      </c>
      <c r="K3" s="77" t="s">
        <v>1962</v>
      </c>
    </row>
    <row r="4" spans="3:11" x14ac:dyDescent="0.3">
      <c r="C4" t="s">
        <v>211</v>
      </c>
      <c r="D4" t="s">
        <v>1838</v>
      </c>
      <c r="E4" t="s">
        <v>1852</v>
      </c>
      <c r="G4" t="s">
        <v>1726</v>
      </c>
      <c r="K4" s="80" t="s">
        <v>1862</v>
      </c>
    </row>
    <row r="5" spans="3:11" x14ac:dyDescent="0.3">
      <c r="C5" t="s">
        <v>212</v>
      </c>
      <c r="D5" t="s">
        <v>1839</v>
      </c>
      <c r="E5" t="s">
        <v>1853</v>
      </c>
      <c r="G5" t="s">
        <v>1727</v>
      </c>
      <c r="K5" s="80" t="s">
        <v>1863</v>
      </c>
    </row>
    <row r="6" spans="3:11" x14ac:dyDescent="0.3">
      <c r="C6" t="s">
        <v>213</v>
      </c>
      <c r="D6" t="s">
        <v>1840</v>
      </c>
      <c r="E6" t="s">
        <v>1854</v>
      </c>
      <c r="G6" t="s">
        <v>1728</v>
      </c>
      <c r="K6" s="80" t="s">
        <v>1864</v>
      </c>
    </row>
    <row r="7" spans="3:11" x14ac:dyDescent="0.3">
      <c r="C7" t="s">
        <v>214</v>
      </c>
      <c r="D7" t="s">
        <v>1707</v>
      </c>
      <c r="E7" t="s">
        <v>1707</v>
      </c>
      <c r="G7" t="s">
        <v>1729</v>
      </c>
      <c r="K7" s="80" t="s">
        <v>1865</v>
      </c>
    </row>
    <row r="8" spans="3:11" x14ac:dyDescent="0.3">
      <c r="C8" t="s">
        <v>215</v>
      </c>
      <c r="D8" t="s">
        <v>1841</v>
      </c>
      <c r="E8" t="s">
        <v>1855</v>
      </c>
      <c r="G8" t="s">
        <v>1730</v>
      </c>
      <c r="K8" s="80" t="s">
        <v>1866</v>
      </c>
    </row>
    <row r="9" spans="3:11" x14ac:dyDescent="0.3">
      <c r="C9" t="s">
        <v>209</v>
      </c>
      <c r="D9" t="s">
        <v>1842</v>
      </c>
      <c r="E9" t="s">
        <v>1856</v>
      </c>
      <c r="G9" t="s">
        <v>1731</v>
      </c>
      <c r="K9" s="80" t="s">
        <v>1867</v>
      </c>
    </row>
    <row r="10" spans="3:11" x14ac:dyDescent="0.3">
      <c r="C10" t="s">
        <v>210</v>
      </c>
      <c r="D10" t="s">
        <v>1843</v>
      </c>
      <c r="E10" t="s">
        <v>1857</v>
      </c>
      <c r="G10" t="s">
        <v>1732</v>
      </c>
      <c r="K10" s="80" t="s">
        <v>1868</v>
      </c>
    </row>
    <row r="11" spans="3:11" x14ac:dyDescent="0.3">
      <c r="C11" t="s">
        <v>211</v>
      </c>
      <c r="D11" t="s">
        <v>1844</v>
      </c>
      <c r="E11" t="s">
        <v>1858</v>
      </c>
      <c r="G11" t="s">
        <v>1733</v>
      </c>
      <c r="K11" s="80" t="s">
        <v>1869</v>
      </c>
    </row>
    <row r="12" spans="3:11" x14ac:dyDescent="0.3">
      <c r="C12" t="s">
        <v>212</v>
      </c>
      <c r="D12" t="s">
        <v>1845</v>
      </c>
      <c r="E12" t="s">
        <v>1859</v>
      </c>
      <c r="G12" t="s">
        <v>1734</v>
      </c>
      <c r="K12" s="80" t="s">
        <v>1870</v>
      </c>
    </row>
    <row r="13" spans="3:11" x14ac:dyDescent="0.3">
      <c r="C13" t="s">
        <v>213</v>
      </c>
      <c r="D13" t="s">
        <v>1846</v>
      </c>
      <c r="E13" t="s">
        <v>1860</v>
      </c>
      <c r="G13" t="s">
        <v>1735</v>
      </c>
      <c r="K13" s="80" t="s">
        <v>1871</v>
      </c>
    </row>
    <row r="14" spans="3:11" x14ac:dyDescent="0.3">
      <c r="E14" t="s">
        <v>1861</v>
      </c>
      <c r="G14" t="s">
        <v>1736</v>
      </c>
      <c r="K14" s="80" t="s">
        <v>1872</v>
      </c>
    </row>
    <row r="15" spans="3:11" x14ac:dyDescent="0.3">
      <c r="E15" t="s">
        <v>1851</v>
      </c>
      <c r="G15" t="s">
        <v>1737</v>
      </c>
      <c r="K15" s="80" t="s">
        <v>1873</v>
      </c>
    </row>
    <row r="16" spans="3:11" x14ac:dyDescent="0.3">
      <c r="E16" t="s">
        <v>1852</v>
      </c>
      <c r="G16" t="s">
        <v>1738</v>
      </c>
      <c r="K16" s="80" t="s">
        <v>1874</v>
      </c>
    </row>
    <row r="17" spans="5:11" x14ac:dyDescent="0.3">
      <c r="E17" t="s">
        <v>1853</v>
      </c>
      <c r="G17" t="s">
        <v>1739</v>
      </c>
      <c r="K17" s="80" t="s">
        <v>1875</v>
      </c>
    </row>
    <row r="18" spans="5:11" x14ac:dyDescent="0.3">
      <c r="E18" t="s">
        <v>1854</v>
      </c>
      <c r="G18" t="s">
        <v>1740</v>
      </c>
      <c r="K18" s="80" t="s">
        <v>1876</v>
      </c>
    </row>
    <row r="19" spans="5:11" x14ac:dyDescent="0.3">
      <c r="G19" t="s">
        <v>1741</v>
      </c>
      <c r="K19" s="80" t="s">
        <v>1877</v>
      </c>
    </row>
    <row r="20" spans="5:11" x14ac:dyDescent="0.3">
      <c r="G20" t="s">
        <v>1742</v>
      </c>
      <c r="K20" s="80" t="s">
        <v>1878</v>
      </c>
    </row>
    <row r="21" spans="5:11" x14ac:dyDescent="0.3">
      <c r="G21" t="s">
        <v>1743</v>
      </c>
      <c r="K21" s="80" t="s">
        <v>1879</v>
      </c>
    </row>
    <row r="22" spans="5:11" x14ac:dyDescent="0.3">
      <c r="G22" t="s">
        <v>1744</v>
      </c>
      <c r="K22" s="80" t="s">
        <v>1880</v>
      </c>
    </row>
    <row r="23" spans="5:11" x14ac:dyDescent="0.3">
      <c r="G23" t="s">
        <v>1745</v>
      </c>
      <c r="K23" s="80" t="s">
        <v>1881</v>
      </c>
    </row>
    <row r="24" spans="5:11" x14ac:dyDescent="0.3">
      <c r="G24" t="s">
        <v>1746</v>
      </c>
      <c r="K24" s="80" t="s">
        <v>1882</v>
      </c>
    </row>
    <row r="25" spans="5:11" x14ac:dyDescent="0.3">
      <c r="G25" t="s">
        <v>1747</v>
      </c>
      <c r="K25" s="80" t="s">
        <v>1883</v>
      </c>
    </row>
    <row r="26" spans="5:11" x14ac:dyDescent="0.3">
      <c r="G26" t="s">
        <v>1748</v>
      </c>
      <c r="K26" s="80" t="s">
        <v>1884</v>
      </c>
    </row>
    <row r="27" spans="5:11" x14ac:dyDescent="0.3">
      <c r="G27" t="s">
        <v>1749</v>
      </c>
      <c r="K27" s="80" t="s">
        <v>1885</v>
      </c>
    </row>
    <row r="28" spans="5:11" x14ac:dyDescent="0.3">
      <c r="G28" t="s">
        <v>1750</v>
      </c>
      <c r="K28" s="80" t="s">
        <v>1886</v>
      </c>
    </row>
    <row r="29" spans="5:11" x14ac:dyDescent="0.3">
      <c r="G29" t="s">
        <v>1751</v>
      </c>
      <c r="K29" s="80" t="s">
        <v>1887</v>
      </c>
    </row>
    <row r="30" spans="5:11" x14ac:dyDescent="0.3">
      <c r="G30" t="s">
        <v>1752</v>
      </c>
      <c r="K30" s="80" t="s">
        <v>1888</v>
      </c>
    </row>
    <row r="31" spans="5:11" x14ac:dyDescent="0.3">
      <c r="G31" t="s">
        <v>1753</v>
      </c>
      <c r="K31" s="80" t="s">
        <v>1889</v>
      </c>
    </row>
    <row r="32" spans="5:11" x14ac:dyDescent="0.3">
      <c r="G32" t="s">
        <v>1754</v>
      </c>
      <c r="K32" s="80" t="s">
        <v>1890</v>
      </c>
    </row>
    <row r="33" spans="7:11" x14ac:dyDescent="0.3">
      <c r="G33" t="s">
        <v>1755</v>
      </c>
      <c r="K33" s="80" t="s">
        <v>1891</v>
      </c>
    </row>
    <row r="34" spans="7:11" x14ac:dyDescent="0.3">
      <c r="G34" t="s">
        <v>1756</v>
      </c>
      <c r="K34" s="80" t="s">
        <v>1892</v>
      </c>
    </row>
    <row r="35" spans="7:11" x14ac:dyDescent="0.3">
      <c r="G35" t="s">
        <v>1757</v>
      </c>
      <c r="K35" s="80" t="s">
        <v>1893</v>
      </c>
    </row>
    <row r="36" spans="7:11" x14ac:dyDescent="0.3">
      <c r="G36" t="s">
        <v>1758</v>
      </c>
      <c r="K36" s="80" t="s">
        <v>1894</v>
      </c>
    </row>
    <row r="37" spans="7:11" x14ac:dyDescent="0.3">
      <c r="G37" t="s">
        <v>1759</v>
      </c>
      <c r="K37" s="80" t="s">
        <v>1895</v>
      </c>
    </row>
    <row r="38" spans="7:11" x14ac:dyDescent="0.3">
      <c r="G38" t="s">
        <v>1760</v>
      </c>
      <c r="K38" s="80" t="s">
        <v>1896</v>
      </c>
    </row>
    <row r="39" spans="7:11" x14ac:dyDescent="0.3">
      <c r="G39" t="s">
        <v>1761</v>
      </c>
      <c r="K39" s="80" t="s">
        <v>1897</v>
      </c>
    </row>
    <row r="40" spans="7:11" x14ac:dyDescent="0.3">
      <c r="G40" t="s">
        <v>1762</v>
      </c>
      <c r="K40" s="80" t="s">
        <v>1898</v>
      </c>
    </row>
    <row r="41" spans="7:11" x14ac:dyDescent="0.3">
      <c r="G41" t="s">
        <v>1763</v>
      </c>
      <c r="K41" s="80" t="s">
        <v>1899</v>
      </c>
    </row>
    <row r="42" spans="7:11" x14ac:dyDescent="0.3">
      <c r="G42" t="s">
        <v>1764</v>
      </c>
      <c r="K42" s="80" t="s">
        <v>1900</v>
      </c>
    </row>
    <row r="43" spans="7:11" x14ac:dyDescent="0.3">
      <c r="G43" t="s">
        <v>1765</v>
      </c>
      <c r="K43" s="80" t="s">
        <v>1901</v>
      </c>
    </row>
    <row r="44" spans="7:11" x14ac:dyDescent="0.3">
      <c r="G44" t="s">
        <v>1766</v>
      </c>
      <c r="K44" s="80" t="s">
        <v>1902</v>
      </c>
    </row>
    <row r="45" spans="7:11" x14ac:dyDescent="0.3">
      <c r="G45" t="s">
        <v>1767</v>
      </c>
      <c r="K45" s="80" t="s">
        <v>1903</v>
      </c>
    </row>
    <row r="46" spans="7:11" x14ac:dyDescent="0.3">
      <c r="G46" t="s">
        <v>1768</v>
      </c>
      <c r="K46" s="80" t="s">
        <v>1904</v>
      </c>
    </row>
    <row r="47" spans="7:11" x14ac:dyDescent="0.3">
      <c r="G47" t="s">
        <v>1769</v>
      </c>
      <c r="K47" s="80" t="s">
        <v>1905</v>
      </c>
    </row>
    <row r="48" spans="7:11" x14ac:dyDescent="0.3">
      <c r="G48" t="s">
        <v>1770</v>
      </c>
      <c r="K48" s="80" t="s">
        <v>1906</v>
      </c>
    </row>
    <row r="49" spans="7:11" x14ac:dyDescent="0.3">
      <c r="G49" t="s">
        <v>1771</v>
      </c>
      <c r="K49" s="80" t="s">
        <v>1907</v>
      </c>
    </row>
    <row r="50" spans="7:11" x14ac:dyDescent="0.3">
      <c r="G50" t="s">
        <v>1772</v>
      </c>
      <c r="K50" s="80" t="s">
        <v>1908</v>
      </c>
    </row>
    <row r="51" spans="7:11" x14ac:dyDescent="0.3">
      <c r="G51" t="s">
        <v>1773</v>
      </c>
      <c r="K51" s="80" t="s">
        <v>1909</v>
      </c>
    </row>
    <row r="52" spans="7:11" x14ac:dyDescent="0.3">
      <c r="G52" t="s">
        <v>1774</v>
      </c>
      <c r="K52" s="80" t="s">
        <v>1910</v>
      </c>
    </row>
    <row r="53" spans="7:11" x14ac:dyDescent="0.3">
      <c r="G53" t="s">
        <v>1775</v>
      </c>
      <c r="K53" s="80" t="s">
        <v>1911</v>
      </c>
    </row>
    <row r="54" spans="7:11" x14ac:dyDescent="0.3">
      <c r="G54" t="s">
        <v>1776</v>
      </c>
      <c r="K54" s="80" t="s">
        <v>1912</v>
      </c>
    </row>
    <row r="55" spans="7:11" x14ac:dyDescent="0.3">
      <c r="G55" t="s">
        <v>1777</v>
      </c>
      <c r="K55" s="80" t="s">
        <v>1913</v>
      </c>
    </row>
    <row r="56" spans="7:11" x14ac:dyDescent="0.3">
      <c r="G56" t="s">
        <v>1778</v>
      </c>
      <c r="K56" s="80" t="s">
        <v>1914</v>
      </c>
    </row>
    <row r="57" spans="7:11" x14ac:dyDescent="0.3">
      <c r="G57" t="s">
        <v>1779</v>
      </c>
      <c r="K57" s="80" t="s">
        <v>1915</v>
      </c>
    </row>
    <row r="58" spans="7:11" x14ac:dyDescent="0.3">
      <c r="G58" t="s">
        <v>1780</v>
      </c>
      <c r="K58" s="80" t="s">
        <v>1916</v>
      </c>
    </row>
    <row r="59" spans="7:11" x14ac:dyDescent="0.3">
      <c r="G59" t="s">
        <v>1781</v>
      </c>
      <c r="K59" s="80" t="s">
        <v>1917</v>
      </c>
    </row>
    <row r="60" spans="7:11" x14ac:dyDescent="0.3">
      <c r="G60" t="s">
        <v>1782</v>
      </c>
      <c r="K60" s="80" t="s">
        <v>1918</v>
      </c>
    </row>
    <row r="61" spans="7:11" x14ac:dyDescent="0.3">
      <c r="G61" t="s">
        <v>1783</v>
      </c>
      <c r="K61" s="80" t="s">
        <v>1919</v>
      </c>
    </row>
    <row r="62" spans="7:11" x14ac:dyDescent="0.3">
      <c r="G62" t="s">
        <v>1784</v>
      </c>
      <c r="K62" s="80" t="s">
        <v>1920</v>
      </c>
    </row>
    <row r="63" spans="7:11" x14ac:dyDescent="0.3">
      <c r="G63" t="s">
        <v>1785</v>
      </c>
      <c r="K63" s="80" t="s">
        <v>1921</v>
      </c>
    </row>
    <row r="64" spans="7:11" x14ac:dyDescent="0.3">
      <c r="G64" t="s">
        <v>1786</v>
      </c>
      <c r="K64" s="80" t="s">
        <v>1922</v>
      </c>
    </row>
    <row r="65" spans="7:11" x14ac:dyDescent="0.3">
      <c r="G65" t="s">
        <v>1787</v>
      </c>
      <c r="K65" s="80" t="s">
        <v>1923</v>
      </c>
    </row>
    <row r="66" spans="7:11" x14ac:dyDescent="0.3">
      <c r="G66" t="s">
        <v>1788</v>
      </c>
      <c r="K66" s="80" t="s">
        <v>1924</v>
      </c>
    </row>
    <row r="67" spans="7:11" x14ac:dyDescent="0.3">
      <c r="G67" t="s">
        <v>1789</v>
      </c>
      <c r="K67" s="80" t="s">
        <v>1925</v>
      </c>
    </row>
    <row r="68" spans="7:11" x14ac:dyDescent="0.3">
      <c r="G68" t="s">
        <v>1790</v>
      </c>
      <c r="K68" s="80" t="s">
        <v>1926</v>
      </c>
    </row>
    <row r="69" spans="7:11" x14ac:dyDescent="0.3">
      <c r="G69" t="s">
        <v>1791</v>
      </c>
      <c r="K69" s="80" t="s">
        <v>1927</v>
      </c>
    </row>
    <row r="70" spans="7:11" x14ac:dyDescent="0.3">
      <c r="G70" t="s">
        <v>1792</v>
      </c>
      <c r="K70" s="80" t="s">
        <v>1928</v>
      </c>
    </row>
    <row r="71" spans="7:11" x14ac:dyDescent="0.3">
      <c r="G71" t="s">
        <v>1793</v>
      </c>
      <c r="K71" s="80" t="s">
        <v>1929</v>
      </c>
    </row>
    <row r="72" spans="7:11" x14ac:dyDescent="0.3">
      <c r="G72" t="s">
        <v>1794</v>
      </c>
      <c r="K72" s="80" t="s">
        <v>1930</v>
      </c>
    </row>
    <row r="73" spans="7:11" x14ac:dyDescent="0.3">
      <c r="G73" t="s">
        <v>1795</v>
      </c>
      <c r="K73" s="80" t="s">
        <v>1931</v>
      </c>
    </row>
    <row r="74" spans="7:11" x14ac:dyDescent="0.3">
      <c r="G74" t="s">
        <v>1796</v>
      </c>
      <c r="K74" s="80" t="s">
        <v>1932</v>
      </c>
    </row>
    <row r="75" spans="7:11" x14ac:dyDescent="0.3">
      <c r="G75" t="s">
        <v>1797</v>
      </c>
      <c r="K75" s="80" t="s">
        <v>1933</v>
      </c>
    </row>
    <row r="76" spans="7:11" x14ac:dyDescent="0.3">
      <c r="G76" t="s">
        <v>1798</v>
      </c>
      <c r="K76" s="80" t="s">
        <v>1934</v>
      </c>
    </row>
    <row r="77" spans="7:11" x14ac:dyDescent="0.3">
      <c r="G77" t="s">
        <v>1799</v>
      </c>
      <c r="K77" s="80" t="s">
        <v>1935</v>
      </c>
    </row>
    <row r="78" spans="7:11" x14ac:dyDescent="0.3">
      <c r="G78" t="s">
        <v>1800</v>
      </c>
      <c r="K78" s="80" t="s">
        <v>1936</v>
      </c>
    </row>
    <row r="79" spans="7:11" x14ac:dyDescent="0.3">
      <c r="G79" t="s">
        <v>1801</v>
      </c>
      <c r="K79" s="80" t="s">
        <v>1937</v>
      </c>
    </row>
    <row r="80" spans="7:11" x14ac:dyDescent="0.3">
      <c r="G80" t="s">
        <v>1802</v>
      </c>
      <c r="K80" s="80" t="s">
        <v>1938</v>
      </c>
    </row>
    <row r="81" spans="7:11" x14ac:dyDescent="0.3">
      <c r="G81" t="s">
        <v>1803</v>
      </c>
      <c r="K81" s="80" t="s">
        <v>1939</v>
      </c>
    </row>
    <row r="82" spans="7:11" x14ac:dyDescent="0.3">
      <c r="K82" s="80" t="s">
        <v>1940</v>
      </c>
    </row>
    <row r="83" spans="7:11" x14ac:dyDescent="0.3">
      <c r="K83" s="80" t="s">
        <v>1941</v>
      </c>
    </row>
    <row r="84" spans="7:11" x14ac:dyDescent="0.3">
      <c r="K84" s="80" t="s">
        <v>1942</v>
      </c>
    </row>
    <row r="85" spans="7:11" x14ac:dyDescent="0.3">
      <c r="K85" s="80" t="s">
        <v>1943</v>
      </c>
    </row>
    <row r="86" spans="7:11" x14ac:dyDescent="0.3">
      <c r="K86" s="80" t="s">
        <v>1944</v>
      </c>
    </row>
    <row r="87" spans="7:11" x14ac:dyDescent="0.3">
      <c r="K87" s="80" t="s">
        <v>1945</v>
      </c>
    </row>
    <row r="88" spans="7:11" x14ac:dyDescent="0.3">
      <c r="K88" s="80" t="s">
        <v>1946</v>
      </c>
    </row>
    <row r="89" spans="7:11" x14ac:dyDescent="0.3">
      <c r="K89" s="80" t="s">
        <v>1947</v>
      </c>
    </row>
    <row r="90" spans="7:11" x14ac:dyDescent="0.3">
      <c r="K90" s="80" t="s">
        <v>1948</v>
      </c>
    </row>
    <row r="91" spans="7:11" x14ac:dyDescent="0.3">
      <c r="K91" s="80" t="s">
        <v>1949</v>
      </c>
    </row>
    <row r="92" spans="7:11" x14ac:dyDescent="0.3">
      <c r="K92" s="80" t="s">
        <v>1950</v>
      </c>
    </row>
    <row r="93" spans="7:11" x14ac:dyDescent="0.3">
      <c r="K93" s="80" t="s">
        <v>1951</v>
      </c>
    </row>
    <row r="94" spans="7:11" x14ac:dyDescent="0.3">
      <c r="K94" s="80" t="s">
        <v>1952</v>
      </c>
    </row>
    <row r="95" spans="7:11" x14ac:dyDescent="0.3">
      <c r="K95" s="80" t="s">
        <v>1953</v>
      </c>
    </row>
    <row r="96" spans="7:11" x14ac:dyDescent="0.3">
      <c r="K96" s="80" t="s">
        <v>1954</v>
      </c>
    </row>
    <row r="97" spans="11:11" x14ac:dyDescent="0.3">
      <c r="K97" s="80" t="s">
        <v>1955</v>
      </c>
    </row>
    <row r="98" spans="11:11" x14ac:dyDescent="0.3">
      <c r="K98" s="80" t="s">
        <v>1956</v>
      </c>
    </row>
    <row r="99" spans="11:11" x14ac:dyDescent="0.3">
      <c r="K99" s="80" t="s">
        <v>1957</v>
      </c>
    </row>
    <row r="100" spans="11:11" x14ac:dyDescent="0.3">
      <c r="K100" s="80" t="s">
        <v>1958</v>
      </c>
    </row>
    <row r="101" spans="11:11" x14ac:dyDescent="0.3">
      <c r="K101" s="80" t="s">
        <v>1959</v>
      </c>
    </row>
    <row r="102" spans="11:11" x14ac:dyDescent="0.3">
      <c r="K102" s="80" t="s">
        <v>1960</v>
      </c>
    </row>
    <row r="103" spans="11:11" x14ac:dyDescent="0.3">
      <c r="K103" s="80" t="s">
        <v>1961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71E1-672F-43CB-A822-A138782A7644}">
  <dimension ref="A1:J30"/>
  <sheetViews>
    <sheetView topLeftCell="A11" zoomScale="160" workbookViewId="0">
      <selection activeCell="D25" sqref="D25"/>
    </sheetView>
  </sheetViews>
  <sheetFormatPr defaultRowHeight="14.4" x14ac:dyDescent="0.3"/>
  <cols>
    <col min="1" max="1" width="17.33203125" bestFit="1" customWidth="1"/>
    <col min="2" max="2" width="9.5546875" bestFit="1" customWidth="1"/>
    <col min="3" max="3" width="17.33203125" bestFit="1" customWidth="1"/>
    <col min="5" max="5" width="9.5546875" bestFit="1" customWidth="1"/>
    <col min="6" max="6" width="12.44140625" customWidth="1"/>
    <col min="7" max="7" width="13.5546875" customWidth="1"/>
    <col min="10" max="10" width="15.33203125" bestFit="1" customWidth="1"/>
  </cols>
  <sheetData>
    <row r="1" spans="1:10" x14ac:dyDescent="0.3">
      <c r="A1" s="40" t="s">
        <v>166</v>
      </c>
      <c r="D1" s="26"/>
      <c r="E1" s="26"/>
      <c r="F1" s="26"/>
      <c r="G1" s="26"/>
    </row>
    <row r="2" spans="1:10" x14ac:dyDescent="0.3">
      <c r="A2" t="s">
        <v>164</v>
      </c>
      <c r="D2" s="26"/>
      <c r="E2" s="26"/>
      <c r="F2" s="26"/>
      <c r="G2" s="26"/>
    </row>
    <row r="3" spans="1:10" x14ac:dyDescent="0.3">
      <c r="A3" t="s">
        <v>165</v>
      </c>
      <c r="D3" s="26"/>
      <c r="E3" s="26"/>
      <c r="F3" s="26"/>
      <c r="G3" s="26"/>
    </row>
    <row r="4" spans="1:10" x14ac:dyDescent="0.3">
      <c r="A4" t="s">
        <v>167</v>
      </c>
      <c r="D4" s="26"/>
      <c r="E4" s="26"/>
      <c r="F4" s="26"/>
      <c r="G4" s="26"/>
    </row>
    <row r="5" spans="1:10" x14ac:dyDescent="0.3">
      <c r="A5" t="s">
        <v>168</v>
      </c>
      <c r="D5" s="26"/>
      <c r="E5" s="26"/>
      <c r="F5" s="26"/>
      <c r="G5" s="26"/>
    </row>
    <row r="6" spans="1:10" x14ac:dyDescent="0.3">
      <c r="A6" t="s">
        <v>169</v>
      </c>
      <c r="D6" s="26"/>
      <c r="E6" s="26"/>
      <c r="F6" s="26"/>
      <c r="G6" s="26"/>
      <c r="J6" s="11"/>
    </row>
    <row r="7" spans="1:10" x14ac:dyDescent="0.3">
      <c r="D7" s="26"/>
      <c r="E7" s="26"/>
      <c r="F7" s="26"/>
      <c r="G7" s="26"/>
      <c r="J7" s="21" t="s">
        <v>178</v>
      </c>
    </row>
    <row r="8" spans="1:10" ht="18" x14ac:dyDescent="0.35">
      <c r="D8" s="26"/>
      <c r="E8" s="26"/>
      <c r="F8" s="26"/>
      <c r="G8" s="26"/>
      <c r="J8" s="27" t="s">
        <v>167</v>
      </c>
    </row>
    <row r="9" spans="1:10" x14ac:dyDescent="0.3">
      <c r="D9" s="26"/>
      <c r="E9" s="26"/>
      <c r="F9" s="26"/>
      <c r="G9" s="26"/>
      <c r="J9" s="41"/>
    </row>
    <row r="10" spans="1:10" x14ac:dyDescent="0.3">
      <c r="D10" s="26"/>
      <c r="E10" s="26"/>
      <c r="F10" s="28" t="s">
        <v>180</v>
      </c>
      <c r="G10" s="26"/>
      <c r="J10" s="41">
        <v>45678</v>
      </c>
    </row>
    <row r="11" spans="1:10" x14ac:dyDescent="0.3">
      <c r="A11" s="21" t="s">
        <v>170</v>
      </c>
      <c r="C11" s="21" t="s">
        <v>179</v>
      </c>
      <c r="D11" s="26"/>
      <c r="E11" s="26"/>
      <c r="F11" s="26"/>
      <c r="G11" s="26"/>
      <c r="J11" s="41">
        <v>45665</v>
      </c>
    </row>
    <row r="12" spans="1:10" ht="18" x14ac:dyDescent="0.35">
      <c r="A12" s="53" t="s">
        <v>171</v>
      </c>
      <c r="C12" s="53" t="s">
        <v>172</v>
      </c>
      <c r="D12" s="26"/>
      <c r="E12" s="26"/>
      <c r="F12" s="44" t="s">
        <v>173</v>
      </c>
      <c r="G12" s="44" t="s">
        <v>172</v>
      </c>
      <c r="J12" s="43">
        <v>45664</v>
      </c>
    </row>
    <row r="13" spans="1:10" x14ac:dyDescent="0.3">
      <c r="A13" s="55">
        <v>8.9</v>
      </c>
      <c r="C13" s="54">
        <v>23000</v>
      </c>
      <c r="F13" s="47" t="s">
        <v>177</v>
      </c>
      <c r="G13" s="48">
        <v>23000</v>
      </c>
      <c r="J13" s="41">
        <v>45658</v>
      </c>
    </row>
    <row r="14" spans="1:10" x14ac:dyDescent="0.3">
      <c r="A14" s="55">
        <v>7.9</v>
      </c>
      <c r="C14" s="54">
        <v>34000</v>
      </c>
      <c r="F14" s="47" t="s">
        <v>176</v>
      </c>
      <c r="G14" s="48">
        <v>34000</v>
      </c>
      <c r="J14" s="42">
        <v>45299</v>
      </c>
    </row>
    <row r="15" spans="1:10" x14ac:dyDescent="0.3">
      <c r="A15" s="55">
        <v>7.9</v>
      </c>
      <c r="C15" s="54">
        <v>45000</v>
      </c>
      <c r="F15" s="45" t="s">
        <v>174</v>
      </c>
      <c r="G15" s="46">
        <v>35000</v>
      </c>
      <c r="J15" s="42">
        <v>45299</v>
      </c>
    </row>
    <row r="16" spans="1:10" x14ac:dyDescent="0.3">
      <c r="A16" s="55">
        <v>6.9</v>
      </c>
      <c r="C16" s="54">
        <v>54000</v>
      </c>
      <c r="F16" s="49" t="s">
        <v>175</v>
      </c>
      <c r="G16" s="50">
        <v>54000</v>
      </c>
      <c r="J16" s="11"/>
    </row>
    <row r="17" spans="1:7" x14ac:dyDescent="0.3">
      <c r="A17" s="55">
        <v>5</v>
      </c>
      <c r="C17" s="54">
        <v>55000</v>
      </c>
      <c r="F17" s="51" t="s">
        <v>34</v>
      </c>
      <c r="G17" s="52">
        <v>78000</v>
      </c>
    </row>
    <row r="18" spans="1:7" x14ac:dyDescent="0.3">
      <c r="A18" s="55">
        <v>3.9</v>
      </c>
      <c r="C18" s="54">
        <v>78000</v>
      </c>
      <c r="G18" s="25"/>
    </row>
    <row r="22" spans="1:7" x14ac:dyDescent="0.3">
      <c r="A22" s="21" t="s">
        <v>181</v>
      </c>
      <c r="E22" s="21" t="s">
        <v>182</v>
      </c>
    </row>
    <row r="24" spans="1:7" x14ac:dyDescent="0.3">
      <c r="A24" s="30" t="s">
        <v>173</v>
      </c>
      <c r="B24" s="30" t="s">
        <v>158</v>
      </c>
      <c r="E24" s="30" t="s">
        <v>173</v>
      </c>
      <c r="F24" s="30" t="s">
        <v>158</v>
      </c>
    </row>
    <row r="25" spans="1:7" x14ac:dyDescent="0.3">
      <c r="A25" t="s">
        <v>177</v>
      </c>
      <c r="B25" s="31">
        <v>45000</v>
      </c>
      <c r="E25" s="29" t="s">
        <v>175</v>
      </c>
      <c r="F25" s="38">
        <v>34000</v>
      </c>
    </row>
    <row r="26" spans="1:7" x14ac:dyDescent="0.3">
      <c r="A26" s="29" t="s">
        <v>174</v>
      </c>
      <c r="B26" s="33">
        <v>54000</v>
      </c>
      <c r="E26" t="s">
        <v>177</v>
      </c>
      <c r="F26" s="36">
        <v>45000</v>
      </c>
    </row>
    <row r="27" spans="1:7" x14ac:dyDescent="0.3">
      <c r="A27" t="s">
        <v>176</v>
      </c>
      <c r="B27" s="35">
        <v>23000</v>
      </c>
      <c r="E27" s="29" t="s">
        <v>174</v>
      </c>
      <c r="F27" s="39">
        <v>54000</v>
      </c>
    </row>
    <row r="28" spans="1:7" x14ac:dyDescent="0.3">
      <c r="A28" s="29" t="s">
        <v>175</v>
      </c>
      <c r="B28" s="34">
        <v>34000</v>
      </c>
      <c r="E28" t="s">
        <v>34</v>
      </c>
      <c r="F28" s="37">
        <v>78000</v>
      </c>
    </row>
    <row r="29" spans="1:7" x14ac:dyDescent="0.3">
      <c r="A29" t="s">
        <v>34</v>
      </c>
      <c r="B29" s="32">
        <v>78000</v>
      </c>
      <c r="E29" t="s">
        <v>176</v>
      </c>
      <c r="F29" s="37">
        <v>23000</v>
      </c>
    </row>
    <row r="30" spans="1:7" x14ac:dyDescent="0.3">
      <c r="B30" s="25"/>
    </row>
  </sheetData>
  <sortState xmlns:xlrd2="http://schemas.microsoft.com/office/spreadsheetml/2017/richdata2" ref="E25:F29">
    <sortCondition sortBy="fontColor" ref="F25:F29" dxfId="21"/>
    <sortCondition sortBy="fontColor" ref="F25:F29" dxfId="20"/>
    <sortCondition sortBy="fontColor" ref="F25:F29" dxfId="1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0369-02BC-4821-9EF2-3B9817BA9CCE}">
  <dimension ref="A1:G12"/>
  <sheetViews>
    <sheetView zoomScale="149" workbookViewId="0">
      <selection activeCell="F10" sqref="F10"/>
    </sheetView>
  </sheetViews>
  <sheetFormatPr defaultRowHeight="14.4" x14ac:dyDescent="0.3"/>
  <cols>
    <col min="1" max="1" width="20.6640625" bestFit="1" customWidth="1"/>
    <col min="2" max="2" width="16.33203125" customWidth="1"/>
  </cols>
  <sheetData>
    <row r="1" spans="1:7" ht="18" x14ac:dyDescent="0.3">
      <c r="A1" s="24" t="s">
        <v>29</v>
      </c>
      <c r="B1" s="24" t="s">
        <v>47</v>
      </c>
      <c r="C1" s="24" t="s">
        <v>158</v>
      </c>
      <c r="D1" s="24" t="s">
        <v>140</v>
      </c>
    </row>
    <row r="2" spans="1:7" x14ac:dyDescent="0.3">
      <c r="A2" s="7" t="s">
        <v>159</v>
      </c>
      <c r="B2" s="12">
        <f>DATE(2022,4,6)</f>
        <v>44657</v>
      </c>
      <c r="C2" s="7">
        <v>500</v>
      </c>
      <c r="D2" s="7" t="s">
        <v>143</v>
      </c>
      <c r="G2" t="s">
        <v>161</v>
      </c>
    </row>
    <row r="3" spans="1:7" x14ac:dyDescent="0.3">
      <c r="A3" s="7" t="s">
        <v>160</v>
      </c>
      <c r="B3" s="12">
        <f t="shared" ref="B3:B5" si="0">DATE(2022,4,6)</f>
        <v>44657</v>
      </c>
      <c r="C3" s="7">
        <v>300</v>
      </c>
      <c r="D3" s="7" t="s">
        <v>145</v>
      </c>
    </row>
    <row r="4" spans="1:7" x14ac:dyDescent="0.3">
      <c r="A4" s="7" t="s">
        <v>68</v>
      </c>
      <c r="B4" s="12">
        <f t="shared" si="0"/>
        <v>44657</v>
      </c>
      <c r="C4" s="7">
        <v>900</v>
      </c>
      <c r="D4" s="7" t="s">
        <v>150</v>
      </c>
      <c r="G4" t="s">
        <v>162</v>
      </c>
    </row>
    <row r="5" spans="1:7" x14ac:dyDescent="0.3">
      <c r="A5" s="7" t="s">
        <v>69</v>
      </c>
      <c r="B5" s="12">
        <f t="shared" si="0"/>
        <v>44657</v>
      </c>
      <c r="C5" s="7">
        <v>400</v>
      </c>
      <c r="D5" s="7" t="s">
        <v>150</v>
      </c>
    </row>
    <row r="7" spans="1:7" x14ac:dyDescent="0.3">
      <c r="G7" t="s">
        <v>163</v>
      </c>
    </row>
    <row r="8" spans="1:7" ht="18" x14ac:dyDescent="0.3">
      <c r="A8" s="24" t="s">
        <v>29</v>
      </c>
      <c r="B8" s="24" t="s">
        <v>47</v>
      </c>
      <c r="C8" s="24" t="s">
        <v>158</v>
      </c>
    </row>
    <row r="9" spans="1:7" x14ac:dyDescent="0.3">
      <c r="A9" t="s">
        <v>155</v>
      </c>
      <c r="B9" s="11">
        <v>45376</v>
      </c>
      <c r="C9">
        <v>300</v>
      </c>
    </row>
    <row r="10" spans="1:7" x14ac:dyDescent="0.3">
      <c r="A10" t="s">
        <v>156</v>
      </c>
      <c r="B10" s="11">
        <v>45361</v>
      </c>
      <c r="C10">
        <v>350</v>
      </c>
    </row>
    <row r="11" spans="1:7" x14ac:dyDescent="0.3">
      <c r="A11" t="s">
        <v>155</v>
      </c>
      <c r="B11" s="11">
        <v>45303</v>
      </c>
      <c r="C11">
        <v>200</v>
      </c>
    </row>
    <row r="12" spans="1:7" x14ac:dyDescent="0.3">
      <c r="A12" t="s">
        <v>156</v>
      </c>
      <c r="B12" s="11">
        <v>45296</v>
      </c>
      <c r="C12">
        <v>100</v>
      </c>
    </row>
  </sheetData>
  <sortState xmlns:xlrd2="http://schemas.microsoft.com/office/spreadsheetml/2017/richdata2" ref="A2:D5">
    <sortCondition ref="D2:D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9117-CFAA-4E06-9D43-CC80361DE043}">
  <dimension ref="A1:L1429"/>
  <sheetViews>
    <sheetView zoomScale="133" workbookViewId="0">
      <selection activeCell="H21" sqref="H21"/>
    </sheetView>
  </sheetViews>
  <sheetFormatPr defaultRowHeight="14.4" x14ac:dyDescent="0.3"/>
  <cols>
    <col min="1" max="1" width="10.109375" bestFit="1" customWidth="1"/>
    <col min="2" max="2" width="11.5546875" bestFit="1" customWidth="1"/>
    <col min="3" max="3" width="11.33203125" bestFit="1" customWidth="1"/>
    <col min="4" max="4" width="15.109375" bestFit="1" customWidth="1"/>
    <col min="5" max="5" width="10.88671875" bestFit="1" customWidth="1"/>
    <col min="6" max="6" width="10.33203125" bestFit="1" customWidth="1"/>
    <col min="7" max="7" width="7.6640625" bestFit="1" customWidth="1"/>
    <col min="8" max="8" width="12.33203125" bestFit="1" customWidth="1"/>
    <col min="9" max="9" width="9.109375" bestFit="1" customWidth="1"/>
    <col min="10" max="10" width="8.6640625" bestFit="1" customWidth="1"/>
    <col min="11" max="11" width="16.6640625" bestFit="1" customWidth="1"/>
    <col min="12" max="12" width="15.5546875" bestFit="1" customWidth="1"/>
  </cols>
  <sheetData>
    <row r="1" spans="1:12" x14ac:dyDescent="0.3">
      <c r="A1" t="s">
        <v>229</v>
      </c>
      <c r="B1" t="s">
        <v>230</v>
      </c>
      <c r="C1" t="s">
        <v>231</v>
      </c>
      <c r="D1" t="s">
        <v>232</v>
      </c>
      <c r="E1" t="s">
        <v>138</v>
      </c>
      <c r="F1" t="s">
        <v>139</v>
      </c>
      <c r="G1" t="s">
        <v>158</v>
      </c>
      <c r="H1" t="s">
        <v>233</v>
      </c>
      <c r="I1" t="s">
        <v>86</v>
      </c>
      <c r="J1" t="s">
        <v>140</v>
      </c>
      <c r="K1" t="s">
        <v>194</v>
      </c>
      <c r="L1" t="s">
        <v>234</v>
      </c>
    </row>
    <row r="2" spans="1:12" x14ac:dyDescent="0.3">
      <c r="A2" s="57" t="s">
        <v>235</v>
      </c>
      <c r="B2" s="57" t="s">
        <v>236</v>
      </c>
      <c r="C2" s="57" t="s">
        <v>237</v>
      </c>
      <c r="D2" s="57" t="s">
        <v>238</v>
      </c>
      <c r="E2" s="57" t="s">
        <v>149</v>
      </c>
      <c r="F2">
        <v>7</v>
      </c>
      <c r="G2">
        <v>5900</v>
      </c>
      <c r="H2" s="11">
        <v>45049</v>
      </c>
      <c r="I2" s="57" t="s">
        <v>100</v>
      </c>
      <c r="J2" s="57" t="s">
        <v>150</v>
      </c>
      <c r="K2" s="57" t="s">
        <v>239</v>
      </c>
      <c r="L2" t="s">
        <v>240</v>
      </c>
    </row>
    <row r="3" spans="1:12" x14ac:dyDescent="0.3">
      <c r="A3" s="57" t="s">
        <v>241</v>
      </c>
      <c r="B3" s="57" t="s">
        <v>236</v>
      </c>
      <c r="C3" s="57" t="s">
        <v>237</v>
      </c>
      <c r="D3" s="57" t="s">
        <v>238</v>
      </c>
      <c r="E3" s="57" t="s">
        <v>149</v>
      </c>
      <c r="F3">
        <v>6</v>
      </c>
      <c r="G3">
        <v>7000</v>
      </c>
      <c r="H3" s="11">
        <v>45316</v>
      </c>
      <c r="I3" s="57" t="s">
        <v>242</v>
      </c>
      <c r="J3" s="57" t="s">
        <v>147</v>
      </c>
      <c r="K3" s="57" t="s">
        <v>238</v>
      </c>
      <c r="L3" t="s">
        <v>243</v>
      </c>
    </row>
    <row r="4" spans="1:12" x14ac:dyDescent="0.3">
      <c r="A4" s="57" t="s">
        <v>244</v>
      </c>
      <c r="B4" s="57" t="s">
        <v>245</v>
      </c>
      <c r="C4" s="57" t="s">
        <v>237</v>
      </c>
      <c r="D4" s="57" t="s">
        <v>148</v>
      </c>
      <c r="E4" s="57" t="s">
        <v>142</v>
      </c>
      <c r="F4">
        <v>7</v>
      </c>
      <c r="G4">
        <v>7000</v>
      </c>
      <c r="H4" s="11">
        <v>45268</v>
      </c>
      <c r="I4" s="57" t="s">
        <v>242</v>
      </c>
      <c r="J4" s="57" t="s">
        <v>145</v>
      </c>
      <c r="K4" s="57" t="s">
        <v>239</v>
      </c>
      <c r="L4" t="s">
        <v>243</v>
      </c>
    </row>
    <row r="5" spans="1:12" x14ac:dyDescent="0.3">
      <c r="A5" s="57" t="s">
        <v>246</v>
      </c>
      <c r="B5" s="57" t="s">
        <v>247</v>
      </c>
      <c r="C5" s="57" t="s">
        <v>237</v>
      </c>
      <c r="D5" s="57" t="s">
        <v>144</v>
      </c>
      <c r="E5" s="57" t="s">
        <v>142</v>
      </c>
      <c r="F5">
        <v>7</v>
      </c>
      <c r="G5">
        <v>7000</v>
      </c>
      <c r="H5" s="11">
        <v>45081</v>
      </c>
      <c r="I5" s="57" t="s">
        <v>92</v>
      </c>
      <c r="J5" s="57" t="s">
        <v>248</v>
      </c>
      <c r="K5" s="57" t="s">
        <v>249</v>
      </c>
      <c r="L5" t="s">
        <v>243</v>
      </c>
    </row>
    <row r="6" spans="1:12" x14ac:dyDescent="0.3">
      <c r="A6" s="57" t="s">
        <v>250</v>
      </c>
      <c r="B6" s="57" t="s">
        <v>251</v>
      </c>
      <c r="C6" s="57" t="s">
        <v>237</v>
      </c>
      <c r="D6" s="57" t="s">
        <v>238</v>
      </c>
      <c r="E6" s="57" t="s">
        <v>252</v>
      </c>
      <c r="F6">
        <v>10</v>
      </c>
      <c r="G6">
        <v>5900</v>
      </c>
      <c r="H6" s="11">
        <v>45397</v>
      </c>
      <c r="I6" s="57" t="s">
        <v>89</v>
      </c>
      <c r="J6" s="57" t="s">
        <v>147</v>
      </c>
      <c r="K6" s="57" t="s">
        <v>253</v>
      </c>
      <c r="L6" t="s">
        <v>240</v>
      </c>
    </row>
    <row r="7" spans="1:12" x14ac:dyDescent="0.3">
      <c r="A7" s="57" t="s">
        <v>254</v>
      </c>
      <c r="B7" s="57" t="s">
        <v>255</v>
      </c>
      <c r="C7" s="57" t="s">
        <v>237</v>
      </c>
      <c r="D7" s="57" t="s">
        <v>146</v>
      </c>
      <c r="E7" s="57" t="s">
        <v>256</v>
      </c>
      <c r="F7">
        <v>0</v>
      </c>
      <c r="G7">
        <v>3904</v>
      </c>
      <c r="H7" s="11">
        <v>45504</v>
      </c>
      <c r="I7" s="57" t="s">
        <v>257</v>
      </c>
      <c r="J7" s="57" t="s">
        <v>143</v>
      </c>
      <c r="K7" s="57" t="s">
        <v>238</v>
      </c>
      <c r="L7" t="s">
        <v>258</v>
      </c>
    </row>
    <row r="8" spans="1:12" x14ac:dyDescent="0.3">
      <c r="A8" s="57" t="s">
        <v>259</v>
      </c>
      <c r="B8" s="57" t="s">
        <v>195</v>
      </c>
      <c r="C8" s="57" t="s">
        <v>196</v>
      </c>
      <c r="D8" s="57" t="s">
        <v>238</v>
      </c>
      <c r="E8" s="57" t="s">
        <v>260</v>
      </c>
      <c r="F8">
        <v>8</v>
      </c>
      <c r="G8">
        <v>7000</v>
      </c>
      <c r="H8" s="11">
        <v>45593</v>
      </c>
      <c r="I8" s="57" t="s">
        <v>257</v>
      </c>
      <c r="J8" s="57" t="s">
        <v>147</v>
      </c>
      <c r="K8" s="57" t="s">
        <v>238</v>
      </c>
      <c r="L8" t="s">
        <v>243</v>
      </c>
    </row>
    <row r="9" spans="1:12" x14ac:dyDescent="0.3">
      <c r="A9" s="57" t="s">
        <v>261</v>
      </c>
      <c r="B9" s="57" t="s">
        <v>262</v>
      </c>
      <c r="C9" s="57" t="s">
        <v>263</v>
      </c>
      <c r="D9" s="57" t="s">
        <v>148</v>
      </c>
      <c r="E9" s="57" t="s">
        <v>256</v>
      </c>
      <c r="F9">
        <v>0</v>
      </c>
      <c r="G9">
        <v>7000</v>
      </c>
      <c r="H9" s="11">
        <v>45055</v>
      </c>
      <c r="I9" s="57" t="s">
        <v>92</v>
      </c>
      <c r="J9" s="57" t="s">
        <v>150</v>
      </c>
      <c r="K9" s="57" t="s">
        <v>264</v>
      </c>
      <c r="L9" t="s">
        <v>243</v>
      </c>
    </row>
    <row r="10" spans="1:12" x14ac:dyDescent="0.3">
      <c r="A10" s="57" t="s">
        <v>265</v>
      </c>
      <c r="B10" s="57" t="s">
        <v>245</v>
      </c>
      <c r="C10" s="57" t="s">
        <v>237</v>
      </c>
      <c r="D10" s="57" t="s">
        <v>141</v>
      </c>
      <c r="E10" s="57" t="s">
        <v>252</v>
      </c>
      <c r="F10">
        <v>4</v>
      </c>
      <c r="G10">
        <v>7000</v>
      </c>
      <c r="H10" s="11">
        <v>45621</v>
      </c>
      <c r="I10" s="57" t="s">
        <v>266</v>
      </c>
      <c r="J10" s="57" t="s">
        <v>145</v>
      </c>
      <c r="K10" s="57" t="s">
        <v>197</v>
      </c>
      <c r="L10" t="s">
        <v>243</v>
      </c>
    </row>
    <row r="11" spans="1:12" x14ac:dyDescent="0.3">
      <c r="A11" s="57" t="s">
        <v>267</v>
      </c>
      <c r="B11" s="57" t="s">
        <v>268</v>
      </c>
      <c r="C11" s="57" t="s">
        <v>269</v>
      </c>
      <c r="D11" s="57" t="s">
        <v>152</v>
      </c>
      <c r="E11" s="57" t="s">
        <v>260</v>
      </c>
      <c r="F11">
        <v>0</v>
      </c>
      <c r="G11">
        <v>4510</v>
      </c>
      <c r="H11" s="11">
        <v>45335</v>
      </c>
      <c r="I11" s="57" t="s">
        <v>266</v>
      </c>
      <c r="J11" s="57" t="s">
        <v>143</v>
      </c>
      <c r="K11" s="57" t="s">
        <v>238</v>
      </c>
      <c r="L11" t="s">
        <v>240</v>
      </c>
    </row>
    <row r="12" spans="1:12" x14ac:dyDescent="0.3">
      <c r="A12" s="57" t="s">
        <v>270</v>
      </c>
      <c r="B12" s="57" t="s">
        <v>268</v>
      </c>
      <c r="C12" s="57" t="s">
        <v>269</v>
      </c>
      <c r="D12" s="57" t="s">
        <v>238</v>
      </c>
      <c r="E12" s="57" t="s">
        <v>252</v>
      </c>
      <c r="F12">
        <v>10</v>
      </c>
      <c r="G12">
        <v>5900</v>
      </c>
      <c r="H12" s="11">
        <v>44949</v>
      </c>
      <c r="I12" s="57" t="s">
        <v>257</v>
      </c>
      <c r="J12" s="57" t="s">
        <v>145</v>
      </c>
      <c r="K12" s="57" t="s">
        <v>249</v>
      </c>
      <c r="L12" t="s">
        <v>240</v>
      </c>
    </row>
    <row r="13" spans="1:12" x14ac:dyDescent="0.3">
      <c r="A13" s="57" t="s">
        <v>271</v>
      </c>
      <c r="B13" s="57" t="s">
        <v>245</v>
      </c>
      <c r="C13" s="57" t="s">
        <v>237</v>
      </c>
      <c r="D13" s="57" t="s">
        <v>144</v>
      </c>
      <c r="E13" s="57" t="s">
        <v>260</v>
      </c>
      <c r="F13">
        <v>7</v>
      </c>
      <c r="G13">
        <v>2925</v>
      </c>
      <c r="H13" s="11">
        <v>45016</v>
      </c>
      <c r="I13" s="57" t="s">
        <v>266</v>
      </c>
      <c r="J13" s="57" t="s">
        <v>248</v>
      </c>
      <c r="K13" s="57" t="s">
        <v>253</v>
      </c>
      <c r="L13" t="s">
        <v>258</v>
      </c>
    </row>
    <row r="14" spans="1:12" x14ac:dyDescent="0.3">
      <c r="A14" s="57" t="s">
        <v>272</v>
      </c>
      <c r="B14" s="57" t="s">
        <v>273</v>
      </c>
      <c r="C14" s="57" t="s">
        <v>237</v>
      </c>
      <c r="D14" s="57" t="s">
        <v>141</v>
      </c>
      <c r="E14" s="57" t="s">
        <v>252</v>
      </c>
      <c r="F14">
        <v>0</v>
      </c>
      <c r="G14">
        <v>7000</v>
      </c>
      <c r="H14" s="11">
        <v>45115</v>
      </c>
      <c r="I14" s="57" t="s">
        <v>100</v>
      </c>
      <c r="J14" s="57" t="s">
        <v>143</v>
      </c>
      <c r="K14" s="57" t="s">
        <v>239</v>
      </c>
      <c r="L14" t="s">
        <v>243</v>
      </c>
    </row>
    <row r="15" spans="1:12" x14ac:dyDescent="0.3">
      <c r="A15" s="57" t="s">
        <v>274</v>
      </c>
      <c r="B15" s="57" t="s">
        <v>275</v>
      </c>
      <c r="C15" s="57" t="s">
        <v>276</v>
      </c>
      <c r="D15" s="57" t="s">
        <v>152</v>
      </c>
      <c r="E15" s="57" t="s">
        <v>260</v>
      </c>
      <c r="F15">
        <v>10</v>
      </c>
      <c r="G15">
        <v>5900</v>
      </c>
      <c r="H15" s="11">
        <v>45351</v>
      </c>
      <c r="I15" s="57" t="s">
        <v>266</v>
      </c>
      <c r="J15" s="57" t="s">
        <v>150</v>
      </c>
      <c r="K15" s="57" t="s">
        <v>239</v>
      </c>
      <c r="L15" t="s">
        <v>240</v>
      </c>
    </row>
    <row r="16" spans="1:12" x14ac:dyDescent="0.3">
      <c r="A16" s="57" t="s">
        <v>277</v>
      </c>
      <c r="B16" s="57" t="s">
        <v>247</v>
      </c>
      <c r="C16" s="57" t="s">
        <v>237</v>
      </c>
      <c r="D16" s="57" t="s">
        <v>146</v>
      </c>
      <c r="E16" s="57" t="s">
        <v>256</v>
      </c>
      <c r="F16">
        <v>5</v>
      </c>
      <c r="G16">
        <v>7000</v>
      </c>
      <c r="H16" s="11">
        <v>45343</v>
      </c>
      <c r="I16" s="57" t="s">
        <v>257</v>
      </c>
      <c r="J16" s="57" t="s">
        <v>147</v>
      </c>
      <c r="K16" s="57" t="s">
        <v>239</v>
      </c>
      <c r="L16" t="s">
        <v>243</v>
      </c>
    </row>
    <row r="17" spans="1:12" x14ac:dyDescent="0.3">
      <c r="A17" s="57" t="s">
        <v>278</v>
      </c>
      <c r="B17" s="57" t="s">
        <v>268</v>
      </c>
      <c r="C17" s="57" t="s">
        <v>269</v>
      </c>
      <c r="D17" s="57" t="s">
        <v>151</v>
      </c>
      <c r="E17" s="57" t="s">
        <v>149</v>
      </c>
      <c r="F17">
        <v>9</v>
      </c>
      <c r="G17">
        <v>7000</v>
      </c>
      <c r="H17" s="11">
        <v>45166</v>
      </c>
      <c r="I17" s="57" t="s">
        <v>257</v>
      </c>
      <c r="J17" s="57" t="s">
        <v>145</v>
      </c>
      <c r="K17" s="57" t="s">
        <v>197</v>
      </c>
      <c r="L17" t="s">
        <v>243</v>
      </c>
    </row>
    <row r="18" spans="1:12" x14ac:dyDescent="0.3">
      <c r="A18" s="57" t="s">
        <v>279</v>
      </c>
      <c r="B18" s="57" t="s">
        <v>247</v>
      </c>
      <c r="C18" s="57" t="s">
        <v>237</v>
      </c>
      <c r="D18" s="57" t="s">
        <v>151</v>
      </c>
      <c r="E18" s="57" t="s">
        <v>260</v>
      </c>
      <c r="F18">
        <v>0</v>
      </c>
      <c r="G18">
        <v>5900</v>
      </c>
      <c r="H18" s="11">
        <v>45617</v>
      </c>
      <c r="I18" s="57" t="s">
        <v>100</v>
      </c>
      <c r="J18" s="57" t="s">
        <v>147</v>
      </c>
      <c r="K18" s="57" t="s">
        <v>238</v>
      </c>
      <c r="L18" t="s">
        <v>240</v>
      </c>
    </row>
    <row r="19" spans="1:12" x14ac:dyDescent="0.3">
      <c r="A19" s="57" t="s">
        <v>280</v>
      </c>
      <c r="B19" s="57" t="s">
        <v>255</v>
      </c>
      <c r="C19" s="57" t="s">
        <v>237</v>
      </c>
      <c r="D19" s="57" t="s">
        <v>146</v>
      </c>
      <c r="E19" s="57" t="s">
        <v>142</v>
      </c>
      <c r="F19">
        <v>7</v>
      </c>
      <c r="G19">
        <v>5900</v>
      </c>
      <c r="H19" s="11">
        <v>45398</v>
      </c>
      <c r="I19" s="57" t="s">
        <v>242</v>
      </c>
      <c r="J19" s="57" t="s">
        <v>143</v>
      </c>
      <c r="K19" s="57" t="s">
        <v>238</v>
      </c>
      <c r="L19" t="s">
        <v>240</v>
      </c>
    </row>
    <row r="20" spans="1:12" x14ac:dyDescent="0.3">
      <c r="A20" s="57" t="s">
        <v>281</v>
      </c>
      <c r="B20" s="57" t="s">
        <v>255</v>
      </c>
      <c r="C20" s="57" t="s">
        <v>237</v>
      </c>
      <c r="D20" s="57" t="s">
        <v>148</v>
      </c>
      <c r="E20" s="57" t="s">
        <v>260</v>
      </c>
      <c r="F20">
        <v>5</v>
      </c>
      <c r="G20">
        <v>7000</v>
      </c>
      <c r="H20" s="11">
        <v>45478</v>
      </c>
      <c r="I20" s="57" t="s">
        <v>266</v>
      </c>
      <c r="J20" s="57" t="s">
        <v>150</v>
      </c>
      <c r="K20" s="57" t="s">
        <v>264</v>
      </c>
      <c r="L20" t="s">
        <v>243</v>
      </c>
    </row>
    <row r="21" spans="1:12" x14ac:dyDescent="0.3">
      <c r="A21" s="57" t="s">
        <v>282</v>
      </c>
      <c r="B21" s="57" t="s">
        <v>251</v>
      </c>
      <c r="C21" s="57" t="s">
        <v>237</v>
      </c>
      <c r="D21" s="57" t="s">
        <v>151</v>
      </c>
      <c r="E21" s="57" t="s">
        <v>256</v>
      </c>
      <c r="F21">
        <v>5</v>
      </c>
      <c r="G21">
        <v>7000</v>
      </c>
      <c r="H21" s="11">
        <v>45409</v>
      </c>
      <c r="I21" s="57" t="s">
        <v>95</v>
      </c>
      <c r="J21" s="57" t="s">
        <v>248</v>
      </c>
      <c r="K21" s="57" t="s">
        <v>197</v>
      </c>
      <c r="L21" t="s">
        <v>243</v>
      </c>
    </row>
    <row r="22" spans="1:12" x14ac:dyDescent="0.3">
      <c r="A22" s="57" t="s">
        <v>283</v>
      </c>
      <c r="B22" s="57" t="s">
        <v>195</v>
      </c>
      <c r="C22" s="57" t="s">
        <v>196</v>
      </c>
      <c r="D22" s="57" t="s">
        <v>238</v>
      </c>
      <c r="E22" s="57" t="s">
        <v>260</v>
      </c>
      <c r="F22">
        <v>7</v>
      </c>
      <c r="G22">
        <v>1138</v>
      </c>
      <c r="H22" s="11">
        <v>45537</v>
      </c>
      <c r="I22" s="57" t="s">
        <v>100</v>
      </c>
      <c r="J22" s="57" t="s">
        <v>150</v>
      </c>
      <c r="K22" s="57" t="s">
        <v>253</v>
      </c>
      <c r="L22" t="s">
        <v>258</v>
      </c>
    </row>
    <row r="23" spans="1:12" x14ac:dyDescent="0.3">
      <c r="A23" s="57" t="s">
        <v>284</v>
      </c>
      <c r="B23" s="57" t="s">
        <v>251</v>
      </c>
      <c r="C23" s="57" t="s">
        <v>237</v>
      </c>
      <c r="D23" s="57" t="s">
        <v>238</v>
      </c>
      <c r="E23" s="57" t="s">
        <v>149</v>
      </c>
      <c r="F23">
        <v>5</v>
      </c>
      <c r="G23">
        <v>4897</v>
      </c>
      <c r="H23" s="11">
        <v>45381</v>
      </c>
      <c r="I23" s="57" t="s">
        <v>95</v>
      </c>
      <c r="J23" s="57" t="s">
        <v>150</v>
      </c>
      <c r="K23" s="57" t="s">
        <v>264</v>
      </c>
      <c r="L23" t="s">
        <v>240</v>
      </c>
    </row>
    <row r="24" spans="1:12" x14ac:dyDescent="0.3">
      <c r="A24" s="57" t="s">
        <v>285</v>
      </c>
      <c r="B24" s="57" t="s">
        <v>275</v>
      </c>
      <c r="C24" s="57" t="s">
        <v>276</v>
      </c>
      <c r="D24" s="57" t="s">
        <v>141</v>
      </c>
      <c r="E24" s="57" t="s">
        <v>142</v>
      </c>
      <c r="F24">
        <v>9</v>
      </c>
      <c r="G24">
        <v>7000</v>
      </c>
      <c r="H24" s="11">
        <v>45567</v>
      </c>
      <c r="I24" s="57" t="s">
        <v>100</v>
      </c>
      <c r="J24" s="57" t="s">
        <v>143</v>
      </c>
      <c r="K24" s="57" t="s">
        <v>253</v>
      </c>
      <c r="L24" t="s">
        <v>243</v>
      </c>
    </row>
    <row r="25" spans="1:12" x14ac:dyDescent="0.3">
      <c r="A25" s="57" t="s">
        <v>286</v>
      </c>
      <c r="B25" s="57" t="s">
        <v>275</v>
      </c>
      <c r="C25" s="57" t="s">
        <v>276</v>
      </c>
      <c r="D25" s="57" t="s">
        <v>141</v>
      </c>
      <c r="E25" s="57" t="s">
        <v>142</v>
      </c>
      <c r="F25">
        <v>10</v>
      </c>
      <c r="G25">
        <v>5900</v>
      </c>
      <c r="H25" s="11">
        <v>45605</v>
      </c>
      <c r="I25" s="57" t="s">
        <v>257</v>
      </c>
      <c r="J25" s="57" t="s">
        <v>248</v>
      </c>
      <c r="K25" s="57" t="s">
        <v>253</v>
      </c>
      <c r="L25" t="s">
        <v>240</v>
      </c>
    </row>
    <row r="26" spans="1:12" x14ac:dyDescent="0.3">
      <c r="A26" s="57" t="s">
        <v>287</v>
      </c>
      <c r="B26" s="57" t="s">
        <v>236</v>
      </c>
      <c r="C26" s="57" t="s">
        <v>237</v>
      </c>
      <c r="D26" s="57" t="s">
        <v>238</v>
      </c>
      <c r="E26" s="57" t="s">
        <v>256</v>
      </c>
      <c r="F26">
        <v>0</v>
      </c>
      <c r="G26">
        <v>5900</v>
      </c>
      <c r="H26" s="11">
        <v>45397</v>
      </c>
      <c r="I26" s="57" t="s">
        <v>92</v>
      </c>
      <c r="J26" s="57" t="s">
        <v>150</v>
      </c>
      <c r="K26" s="57" t="s">
        <v>197</v>
      </c>
      <c r="L26" t="s">
        <v>240</v>
      </c>
    </row>
    <row r="27" spans="1:12" x14ac:dyDescent="0.3">
      <c r="A27" s="57" t="s">
        <v>288</v>
      </c>
      <c r="B27" s="57" t="s">
        <v>255</v>
      </c>
      <c r="C27" s="57" t="s">
        <v>237</v>
      </c>
      <c r="D27" s="57" t="s">
        <v>238</v>
      </c>
      <c r="E27" s="57" t="s">
        <v>256</v>
      </c>
      <c r="F27">
        <v>0</v>
      </c>
      <c r="G27">
        <v>7000</v>
      </c>
      <c r="H27" s="11">
        <v>45094</v>
      </c>
      <c r="I27" s="57" t="s">
        <v>89</v>
      </c>
      <c r="J27" s="57" t="s">
        <v>150</v>
      </c>
      <c r="K27" s="57" t="s">
        <v>197</v>
      </c>
      <c r="L27" t="s">
        <v>243</v>
      </c>
    </row>
    <row r="28" spans="1:12" x14ac:dyDescent="0.3">
      <c r="A28" s="57" t="s">
        <v>289</v>
      </c>
      <c r="B28" s="57" t="s">
        <v>245</v>
      </c>
      <c r="C28" s="57" t="s">
        <v>237</v>
      </c>
      <c r="D28" s="57" t="s">
        <v>151</v>
      </c>
      <c r="E28" s="57" t="s">
        <v>260</v>
      </c>
      <c r="F28">
        <v>0</v>
      </c>
      <c r="G28">
        <v>4313</v>
      </c>
      <c r="H28" s="11">
        <v>45056</v>
      </c>
      <c r="I28" s="57" t="s">
        <v>100</v>
      </c>
      <c r="J28" s="57" t="s">
        <v>143</v>
      </c>
      <c r="K28" s="57" t="s">
        <v>197</v>
      </c>
      <c r="L28" t="s">
        <v>240</v>
      </c>
    </row>
    <row r="29" spans="1:12" x14ac:dyDescent="0.3">
      <c r="A29" s="57" t="s">
        <v>290</v>
      </c>
      <c r="B29" s="57" t="s">
        <v>268</v>
      </c>
      <c r="C29" s="57" t="s">
        <v>269</v>
      </c>
      <c r="D29" s="57" t="s">
        <v>238</v>
      </c>
      <c r="E29" s="57" t="s">
        <v>256</v>
      </c>
      <c r="F29">
        <v>0</v>
      </c>
      <c r="G29">
        <v>7000</v>
      </c>
      <c r="H29" s="11">
        <v>45278</v>
      </c>
      <c r="I29" s="57" t="s">
        <v>291</v>
      </c>
      <c r="J29" s="57" t="s">
        <v>143</v>
      </c>
      <c r="K29" s="57" t="s">
        <v>239</v>
      </c>
      <c r="L29" t="s">
        <v>243</v>
      </c>
    </row>
    <row r="30" spans="1:12" x14ac:dyDescent="0.3">
      <c r="A30" s="57" t="s">
        <v>292</v>
      </c>
      <c r="B30" s="57" t="s">
        <v>247</v>
      </c>
      <c r="C30" s="57" t="s">
        <v>237</v>
      </c>
      <c r="D30" s="57" t="s">
        <v>238</v>
      </c>
      <c r="E30" s="57" t="s">
        <v>149</v>
      </c>
      <c r="F30">
        <v>10</v>
      </c>
      <c r="G30">
        <v>7000</v>
      </c>
      <c r="H30" s="11">
        <v>45260</v>
      </c>
      <c r="I30" s="57" t="s">
        <v>266</v>
      </c>
      <c r="J30" s="57" t="s">
        <v>248</v>
      </c>
      <c r="K30" s="57" t="s">
        <v>264</v>
      </c>
      <c r="L30" t="s">
        <v>243</v>
      </c>
    </row>
    <row r="31" spans="1:12" x14ac:dyDescent="0.3">
      <c r="A31" s="57" t="s">
        <v>293</v>
      </c>
      <c r="B31" s="57" t="s">
        <v>251</v>
      </c>
      <c r="C31" s="57" t="s">
        <v>237</v>
      </c>
      <c r="D31" s="57" t="s">
        <v>146</v>
      </c>
      <c r="E31" s="57" t="s">
        <v>149</v>
      </c>
      <c r="F31">
        <v>7</v>
      </c>
      <c r="G31">
        <v>7000</v>
      </c>
      <c r="H31" s="11">
        <v>45209</v>
      </c>
      <c r="I31" s="57" t="s">
        <v>95</v>
      </c>
      <c r="J31" s="57" t="s">
        <v>143</v>
      </c>
      <c r="K31" s="57" t="s">
        <v>238</v>
      </c>
      <c r="L31" t="s">
        <v>243</v>
      </c>
    </row>
    <row r="32" spans="1:12" x14ac:dyDescent="0.3">
      <c r="A32" s="57" t="s">
        <v>294</v>
      </c>
      <c r="B32" s="57" t="s">
        <v>251</v>
      </c>
      <c r="C32" s="57" t="s">
        <v>237</v>
      </c>
      <c r="D32" s="57" t="s">
        <v>238</v>
      </c>
      <c r="E32" s="57" t="s">
        <v>149</v>
      </c>
      <c r="F32">
        <v>5</v>
      </c>
      <c r="G32">
        <v>5900</v>
      </c>
      <c r="H32" s="11">
        <v>45460</v>
      </c>
      <c r="I32" s="57" t="s">
        <v>92</v>
      </c>
      <c r="J32" s="57" t="s">
        <v>248</v>
      </c>
      <c r="K32" s="57" t="s">
        <v>238</v>
      </c>
      <c r="L32" t="s">
        <v>240</v>
      </c>
    </row>
    <row r="33" spans="1:12" x14ac:dyDescent="0.3">
      <c r="A33" s="57" t="s">
        <v>295</v>
      </c>
      <c r="B33" s="57" t="s">
        <v>268</v>
      </c>
      <c r="C33" s="57" t="s">
        <v>269</v>
      </c>
      <c r="D33" s="57" t="s">
        <v>238</v>
      </c>
      <c r="E33" s="57" t="s">
        <v>252</v>
      </c>
      <c r="F33">
        <v>7</v>
      </c>
      <c r="G33">
        <v>5900</v>
      </c>
      <c r="H33" s="11">
        <v>45212</v>
      </c>
      <c r="I33" s="57" t="s">
        <v>242</v>
      </c>
      <c r="J33" s="57" t="s">
        <v>248</v>
      </c>
      <c r="K33" s="57" t="s">
        <v>238</v>
      </c>
      <c r="L33" t="s">
        <v>240</v>
      </c>
    </row>
    <row r="34" spans="1:12" x14ac:dyDescent="0.3">
      <c r="A34" s="57" t="s">
        <v>296</v>
      </c>
      <c r="B34" s="57" t="s">
        <v>245</v>
      </c>
      <c r="C34" s="57" t="s">
        <v>237</v>
      </c>
      <c r="D34" s="57" t="s">
        <v>141</v>
      </c>
      <c r="E34" s="57" t="s">
        <v>252</v>
      </c>
      <c r="F34">
        <v>7</v>
      </c>
      <c r="G34">
        <v>7000</v>
      </c>
      <c r="H34" s="11">
        <v>45438</v>
      </c>
      <c r="I34" s="57" t="s">
        <v>266</v>
      </c>
      <c r="J34" s="57" t="s">
        <v>147</v>
      </c>
      <c r="K34" s="57" t="s">
        <v>249</v>
      </c>
      <c r="L34" t="s">
        <v>243</v>
      </c>
    </row>
    <row r="35" spans="1:12" x14ac:dyDescent="0.3">
      <c r="A35" s="57" t="s">
        <v>297</v>
      </c>
      <c r="B35" s="57" t="s">
        <v>268</v>
      </c>
      <c r="C35" s="57" t="s">
        <v>269</v>
      </c>
      <c r="D35" s="57" t="s">
        <v>144</v>
      </c>
      <c r="E35" s="57" t="s">
        <v>149</v>
      </c>
      <c r="F35">
        <v>0</v>
      </c>
      <c r="G35">
        <v>7000</v>
      </c>
      <c r="H35" s="11">
        <v>45433</v>
      </c>
      <c r="I35" s="57" t="s">
        <v>257</v>
      </c>
      <c r="J35" s="57" t="s">
        <v>150</v>
      </c>
      <c r="K35" s="57" t="s">
        <v>197</v>
      </c>
      <c r="L35" t="s">
        <v>243</v>
      </c>
    </row>
    <row r="36" spans="1:12" x14ac:dyDescent="0.3">
      <c r="A36" s="57" t="s">
        <v>298</v>
      </c>
      <c r="B36" s="57" t="s">
        <v>195</v>
      </c>
      <c r="C36" s="57" t="s">
        <v>196</v>
      </c>
      <c r="D36" s="57" t="s">
        <v>144</v>
      </c>
      <c r="E36" s="57" t="s">
        <v>252</v>
      </c>
      <c r="F36">
        <v>10</v>
      </c>
      <c r="G36">
        <v>1376</v>
      </c>
      <c r="H36" s="11">
        <v>44993</v>
      </c>
      <c r="I36" s="57" t="s">
        <v>291</v>
      </c>
      <c r="J36" s="57" t="s">
        <v>248</v>
      </c>
      <c r="K36" s="57" t="s">
        <v>239</v>
      </c>
      <c r="L36" t="s">
        <v>258</v>
      </c>
    </row>
    <row r="37" spans="1:12" x14ac:dyDescent="0.3">
      <c r="A37" s="57" t="s">
        <v>299</v>
      </c>
      <c r="B37" s="57" t="s">
        <v>245</v>
      </c>
      <c r="C37" s="57" t="s">
        <v>237</v>
      </c>
      <c r="D37" s="57" t="s">
        <v>238</v>
      </c>
      <c r="E37" s="57" t="s">
        <v>260</v>
      </c>
      <c r="F37">
        <v>10</v>
      </c>
      <c r="G37">
        <v>4081</v>
      </c>
      <c r="H37" s="11">
        <v>45175</v>
      </c>
      <c r="I37" s="57" t="s">
        <v>291</v>
      </c>
      <c r="J37" s="57" t="s">
        <v>145</v>
      </c>
      <c r="K37" s="57" t="s">
        <v>197</v>
      </c>
      <c r="L37" t="s">
        <v>240</v>
      </c>
    </row>
    <row r="38" spans="1:12" x14ac:dyDescent="0.3">
      <c r="A38" s="57" t="s">
        <v>300</v>
      </c>
      <c r="B38" s="57" t="s">
        <v>247</v>
      </c>
      <c r="C38" s="57" t="s">
        <v>237</v>
      </c>
      <c r="D38" s="57" t="s">
        <v>151</v>
      </c>
      <c r="E38" s="57" t="s">
        <v>252</v>
      </c>
      <c r="F38">
        <v>10</v>
      </c>
      <c r="G38">
        <v>7000</v>
      </c>
      <c r="H38" s="11">
        <v>45551</v>
      </c>
      <c r="I38" s="57" t="s">
        <v>89</v>
      </c>
      <c r="J38" s="57" t="s">
        <v>143</v>
      </c>
      <c r="K38" s="57" t="s">
        <v>197</v>
      </c>
      <c r="L38" t="s">
        <v>243</v>
      </c>
    </row>
    <row r="39" spans="1:12" x14ac:dyDescent="0.3">
      <c r="A39" s="57" t="s">
        <v>301</v>
      </c>
      <c r="B39" s="57" t="s">
        <v>251</v>
      </c>
      <c r="C39" s="57" t="s">
        <v>237</v>
      </c>
      <c r="D39" s="57" t="s">
        <v>238</v>
      </c>
      <c r="E39" s="57" t="s">
        <v>149</v>
      </c>
      <c r="F39">
        <v>0</v>
      </c>
      <c r="G39">
        <v>131</v>
      </c>
      <c r="H39" s="11">
        <v>45491</v>
      </c>
      <c r="I39" s="57" t="s">
        <v>242</v>
      </c>
      <c r="J39" s="57" t="s">
        <v>248</v>
      </c>
      <c r="K39" s="57" t="s">
        <v>264</v>
      </c>
      <c r="L39" t="s">
        <v>302</v>
      </c>
    </row>
    <row r="40" spans="1:12" x14ac:dyDescent="0.3">
      <c r="A40" s="57" t="s">
        <v>303</v>
      </c>
      <c r="B40" s="57" t="s">
        <v>262</v>
      </c>
      <c r="C40" s="57" t="s">
        <v>263</v>
      </c>
      <c r="D40" s="57" t="s">
        <v>152</v>
      </c>
      <c r="E40" s="57" t="s">
        <v>252</v>
      </c>
      <c r="F40">
        <v>0</v>
      </c>
      <c r="G40">
        <v>5900</v>
      </c>
      <c r="H40" s="11">
        <v>44931</v>
      </c>
      <c r="I40" s="57" t="s">
        <v>95</v>
      </c>
      <c r="J40" s="57" t="s">
        <v>145</v>
      </c>
      <c r="K40" s="57" t="s">
        <v>249</v>
      </c>
      <c r="L40" t="s">
        <v>240</v>
      </c>
    </row>
    <row r="41" spans="1:12" x14ac:dyDescent="0.3">
      <c r="A41" s="57" t="s">
        <v>304</v>
      </c>
      <c r="B41" s="57" t="s">
        <v>262</v>
      </c>
      <c r="C41" s="57" t="s">
        <v>263</v>
      </c>
      <c r="D41" s="57" t="s">
        <v>146</v>
      </c>
      <c r="E41" s="57" t="s">
        <v>252</v>
      </c>
      <c r="F41">
        <v>4</v>
      </c>
      <c r="G41">
        <v>7000</v>
      </c>
      <c r="H41" s="11">
        <v>45141</v>
      </c>
      <c r="I41" s="57" t="s">
        <v>266</v>
      </c>
      <c r="J41" s="57" t="s">
        <v>147</v>
      </c>
      <c r="K41" s="57" t="s">
        <v>238</v>
      </c>
      <c r="L41" t="s">
        <v>243</v>
      </c>
    </row>
    <row r="42" spans="1:12" x14ac:dyDescent="0.3">
      <c r="A42" s="57" t="s">
        <v>305</v>
      </c>
      <c r="B42" s="57" t="s">
        <v>236</v>
      </c>
      <c r="C42" s="57" t="s">
        <v>237</v>
      </c>
      <c r="D42" s="57" t="s">
        <v>146</v>
      </c>
      <c r="E42" s="57" t="s">
        <v>256</v>
      </c>
      <c r="F42">
        <v>0</v>
      </c>
      <c r="G42">
        <v>2824</v>
      </c>
      <c r="H42" s="11">
        <v>45606</v>
      </c>
      <c r="I42" s="57" t="s">
        <v>257</v>
      </c>
      <c r="J42" s="57" t="s">
        <v>145</v>
      </c>
      <c r="K42" s="57" t="s">
        <v>197</v>
      </c>
      <c r="L42" t="s">
        <v>258</v>
      </c>
    </row>
    <row r="43" spans="1:12" x14ac:dyDescent="0.3">
      <c r="A43" s="57" t="s">
        <v>306</v>
      </c>
      <c r="B43" s="57" t="s">
        <v>251</v>
      </c>
      <c r="C43" s="57" t="s">
        <v>237</v>
      </c>
      <c r="D43" s="57" t="s">
        <v>152</v>
      </c>
      <c r="E43" s="57" t="s">
        <v>149</v>
      </c>
      <c r="F43">
        <v>7</v>
      </c>
      <c r="G43">
        <v>7000</v>
      </c>
      <c r="H43" s="11">
        <v>45437</v>
      </c>
      <c r="I43" s="57" t="s">
        <v>95</v>
      </c>
      <c r="J43" s="57" t="s">
        <v>145</v>
      </c>
      <c r="K43" s="57" t="s">
        <v>249</v>
      </c>
      <c r="L43" t="s">
        <v>243</v>
      </c>
    </row>
    <row r="44" spans="1:12" x14ac:dyDescent="0.3">
      <c r="A44" s="57" t="s">
        <v>307</v>
      </c>
      <c r="B44" s="57" t="s">
        <v>255</v>
      </c>
      <c r="C44" s="57" t="s">
        <v>237</v>
      </c>
      <c r="D44" s="57" t="s">
        <v>146</v>
      </c>
      <c r="E44" s="57" t="s">
        <v>149</v>
      </c>
      <c r="F44">
        <v>4</v>
      </c>
      <c r="G44">
        <v>3080</v>
      </c>
      <c r="H44" s="11">
        <v>45118</v>
      </c>
      <c r="I44" s="57" t="s">
        <v>89</v>
      </c>
      <c r="J44" s="57" t="s">
        <v>248</v>
      </c>
      <c r="K44" s="57" t="s">
        <v>238</v>
      </c>
      <c r="L44" t="s">
        <v>258</v>
      </c>
    </row>
    <row r="45" spans="1:12" x14ac:dyDescent="0.3">
      <c r="A45" s="57" t="s">
        <v>308</v>
      </c>
      <c r="B45" s="57" t="s">
        <v>273</v>
      </c>
      <c r="C45" s="57" t="s">
        <v>237</v>
      </c>
      <c r="D45" s="57" t="s">
        <v>153</v>
      </c>
      <c r="E45" s="57" t="s">
        <v>142</v>
      </c>
      <c r="F45">
        <v>4</v>
      </c>
      <c r="G45">
        <v>7000</v>
      </c>
      <c r="H45" s="11">
        <v>45182</v>
      </c>
      <c r="I45" s="57" t="s">
        <v>100</v>
      </c>
      <c r="J45" s="57" t="s">
        <v>248</v>
      </c>
      <c r="K45" s="57" t="s">
        <v>249</v>
      </c>
      <c r="L45" t="s">
        <v>243</v>
      </c>
    </row>
    <row r="46" spans="1:12" x14ac:dyDescent="0.3">
      <c r="A46" s="57" t="s">
        <v>309</v>
      </c>
      <c r="B46" s="57" t="s">
        <v>255</v>
      </c>
      <c r="C46" s="57" t="s">
        <v>237</v>
      </c>
      <c r="D46" s="57" t="s">
        <v>238</v>
      </c>
      <c r="E46" s="57" t="s">
        <v>252</v>
      </c>
      <c r="F46">
        <v>10</v>
      </c>
      <c r="G46">
        <v>7000</v>
      </c>
      <c r="H46" s="11">
        <v>45590</v>
      </c>
      <c r="I46" s="57" t="s">
        <v>92</v>
      </c>
      <c r="J46" s="57" t="s">
        <v>145</v>
      </c>
      <c r="K46" s="57" t="s">
        <v>197</v>
      </c>
      <c r="L46" t="s">
        <v>243</v>
      </c>
    </row>
    <row r="47" spans="1:12" x14ac:dyDescent="0.3">
      <c r="A47" s="57" t="s">
        <v>310</v>
      </c>
      <c r="B47" s="57" t="s">
        <v>251</v>
      </c>
      <c r="C47" s="57" t="s">
        <v>237</v>
      </c>
      <c r="D47" s="57" t="s">
        <v>148</v>
      </c>
      <c r="E47" s="57" t="s">
        <v>252</v>
      </c>
      <c r="F47">
        <v>5</v>
      </c>
      <c r="G47">
        <v>7000</v>
      </c>
      <c r="H47" s="11">
        <v>45041</v>
      </c>
      <c r="I47" s="57" t="s">
        <v>89</v>
      </c>
      <c r="J47" s="57" t="s">
        <v>143</v>
      </c>
      <c r="K47" s="57" t="s">
        <v>239</v>
      </c>
      <c r="L47" t="s">
        <v>243</v>
      </c>
    </row>
    <row r="48" spans="1:12" x14ac:dyDescent="0.3">
      <c r="A48" s="57" t="s">
        <v>311</v>
      </c>
      <c r="B48" s="57" t="s">
        <v>245</v>
      </c>
      <c r="C48" s="57" t="s">
        <v>237</v>
      </c>
      <c r="D48" s="57" t="s">
        <v>148</v>
      </c>
      <c r="E48" s="57" t="s">
        <v>252</v>
      </c>
      <c r="F48">
        <v>5</v>
      </c>
      <c r="G48">
        <v>5900</v>
      </c>
      <c r="H48" s="11">
        <v>45400</v>
      </c>
      <c r="I48" s="57" t="s">
        <v>89</v>
      </c>
      <c r="J48" s="57" t="s">
        <v>143</v>
      </c>
      <c r="K48" s="57" t="s">
        <v>239</v>
      </c>
      <c r="L48" t="s">
        <v>240</v>
      </c>
    </row>
    <row r="49" spans="1:12" x14ac:dyDescent="0.3">
      <c r="A49" s="57" t="s">
        <v>312</v>
      </c>
      <c r="B49" s="57" t="s">
        <v>268</v>
      </c>
      <c r="C49" s="57" t="s">
        <v>269</v>
      </c>
      <c r="D49" s="57" t="s">
        <v>146</v>
      </c>
      <c r="E49" s="57" t="s">
        <v>149</v>
      </c>
      <c r="F49">
        <v>10</v>
      </c>
      <c r="G49">
        <v>5900</v>
      </c>
      <c r="H49" s="11">
        <v>44938</v>
      </c>
      <c r="I49" s="57" t="s">
        <v>92</v>
      </c>
      <c r="J49" s="57" t="s">
        <v>248</v>
      </c>
      <c r="K49" s="57" t="s">
        <v>239</v>
      </c>
      <c r="L49" t="s">
        <v>240</v>
      </c>
    </row>
    <row r="50" spans="1:12" x14ac:dyDescent="0.3">
      <c r="A50" s="57" t="s">
        <v>313</v>
      </c>
      <c r="B50" s="57" t="s">
        <v>247</v>
      </c>
      <c r="C50" s="57" t="s">
        <v>237</v>
      </c>
      <c r="D50" s="57" t="s">
        <v>238</v>
      </c>
      <c r="E50" s="57" t="s">
        <v>142</v>
      </c>
      <c r="F50">
        <v>7</v>
      </c>
      <c r="G50">
        <v>7000</v>
      </c>
      <c r="H50" s="11">
        <v>45203</v>
      </c>
      <c r="I50" s="57" t="s">
        <v>266</v>
      </c>
      <c r="J50" s="57" t="s">
        <v>150</v>
      </c>
      <c r="K50" s="57" t="s">
        <v>249</v>
      </c>
      <c r="L50" t="s">
        <v>243</v>
      </c>
    </row>
    <row r="51" spans="1:12" x14ac:dyDescent="0.3">
      <c r="A51" s="57" t="s">
        <v>314</v>
      </c>
      <c r="B51" s="57" t="s">
        <v>195</v>
      </c>
      <c r="C51" s="57" t="s">
        <v>196</v>
      </c>
      <c r="D51" s="57" t="s">
        <v>238</v>
      </c>
      <c r="E51" s="57" t="s">
        <v>149</v>
      </c>
      <c r="F51">
        <v>0</v>
      </c>
      <c r="G51">
        <v>129</v>
      </c>
      <c r="H51" s="11">
        <v>45300</v>
      </c>
      <c r="I51" s="57" t="s">
        <v>100</v>
      </c>
      <c r="J51" s="57" t="s">
        <v>150</v>
      </c>
      <c r="K51" s="57" t="s">
        <v>253</v>
      </c>
      <c r="L51" t="s">
        <v>302</v>
      </c>
    </row>
    <row r="52" spans="1:12" x14ac:dyDescent="0.3">
      <c r="A52" s="57" t="s">
        <v>315</v>
      </c>
      <c r="B52" s="57" t="s">
        <v>273</v>
      </c>
      <c r="C52" s="57" t="s">
        <v>237</v>
      </c>
      <c r="D52" s="57" t="s">
        <v>141</v>
      </c>
      <c r="E52" s="57" t="s">
        <v>252</v>
      </c>
      <c r="F52">
        <v>7</v>
      </c>
      <c r="G52">
        <v>7000</v>
      </c>
      <c r="H52" s="11">
        <v>45471</v>
      </c>
      <c r="I52" s="57" t="s">
        <v>89</v>
      </c>
      <c r="J52" s="57" t="s">
        <v>147</v>
      </c>
      <c r="K52" s="57" t="s">
        <v>239</v>
      </c>
      <c r="L52" t="s">
        <v>243</v>
      </c>
    </row>
    <row r="53" spans="1:12" x14ac:dyDescent="0.3">
      <c r="A53" s="57" t="s">
        <v>316</v>
      </c>
      <c r="B53" s="57" t="s">
        <v>273</v>
      </c>
      <c r="C53" s="57" t="s">
        <v>237</v>
      </c>
      <c r="D53" s="57" t="s">
        <v>144</v>
      </c>
      <c r="E53" s="57" t="s">
        <v>142</v>
      </c>
      <c r="F53">
        <v>10</v>
      </c>
      <c r="G53">
        <v>7000</v>
      </c>
      <c r="H53" s="11">
        <v>44964</v>
      </c>
      <c r="I53" s="57" t="s">
        <v>92</v>
      </c>
      <c r="J53" s="57" t="s">
        <v>145</v>
      </c>
      <c r="K53" s="57" t="s">
        <v>239</v>
      </c>
      <c r="L53" t="s">
        <v>243</v>
      </c>
    </row>
    <row r="54" spans="1:12" x14ac:dyDescent="0.3">
      <c r="A54" s="57" t="s">
        <v>317</v>
      </c>
      <c r="B54" s="57" t="s">
        <v>245</v>
      </c>
      <c r="C54" s="57" t="s">
        <v>237</v>
      </c>
      <c r="D54" s="57" t="s">
        <v>152</v>
      </c>
      <c r="E54" s="57" t="s">
        <v>252</v>
      </c>
      <c r="F54">
        <v>5</v>
      </c>
      <c r="G54">
        <v>5900</v>
      </c>
      <c r="H54" s="11">
        <v>45404</v>
      </c>
      <c r="I54" s="57" t="s">
        <v>89</v>
      </c>
      <c r="J54" s="57" t="s">
        <v>248</v>
      </c>
      <c r="K54" s="57" t="s">
        <v>238</v>
      </c>
      <c r="L54" t="s">
        <v>240</v>
      </c>
    </row>
    <row r="55" spans="1:12" x14ac:dyDescent="0.3">
      <c r="A55" s="57" t="s">
        <v>318</v>
      </c>
      <c r="B55" s="57" t="s">
        <v>268</v>
      </c>
      <c r="C55" s="57" t="s">
        <v>269</v>
      </c>
      <c r="D55" s="57" t="s">
        <v>238</v>
      </c>
      <c r="E55" s="57" t="s">
        <v>142</v>
      </c>
      <c r="F55">
        <v>7</v>
      </c>
      <c r="G55">
        <v>7000</v>
      </c>
      <c r="H55" s="11">
        <v>45376</v>
      </c>
      <c r="I55" s="57" t="s">
        <v>257</v>
      </c>
      <c r="J55" s="57" t="s">
        <v>145</v>
      </c>
      <c r="K55" s="57" t="s">
        <v>238</v>
      </c>
      <c r="L55" t="s">
        <v>243</v>
      </c>
    </row>
    <row r="56" spans="1:12" x14ac:dyDescent="0.3">
      <c r="A56" s="57" t="s">
        <v>319</v>
      </c>
      <c r="B56" s="57" t="s">
        <v>273</v>
      </c>
      <c r="C56" s="57" t="s">
        <v>237</v>
      </c>
      <c r="D56" s="57" t="s">
        <v>151</v>
      </c>
      <c r="E56" s="57" t="s">
        <v>256</v>
      </c>
      <c r="F56">
        <v>5</v>
      </c>
      <c r="G56">
        <v>962</v>
      </c>
      <c r="H56" s="11">
        <v>45325</v>
      </c>
      <c r="I56" s="57" t="s">
        <v>100</v>
      </c>
      <c r="J56" s="57" t="s">
        <v>248</v>
      </c>
      <c r="K56" s="57" t="s">
        <v>197</v>
      </c>
      <c r="L56" t="s">
        <v>302</v>
      </c>
    </row>
    <row r="57" spans="1:12" x14ac:dyDescent="0.3">
      <c r="A57" s="57" t="s">
        <v>320</v>
      </c>
      <c r="B57" s="57" t="s">
        <v>247</v>
      </c>
      <c r="C57" s="57" t="s">
        <v>237</v>
      </c>
      <c r="D57" s="57" t="s">
        <v>141</v>
      </c>
      <c r="E57" s="57" t="s">
        <v>149</v>
      </c>
      <c r="F57">
        <v>10</v>
      </c>
      <c r="G57">
        <v>5900</v>
      </c>
      <c r="H57" s="11">
        <v>45153</v>
      </c>
      <c r="I57" s="57" t="s">
        <v>257</v>
      </c>
      <c r="J57" s="57" t="s">
        <v>248</v>
      </c>
      <c r="K57" s="57" t="s">
        <v>238</v>
      </c>
      <c r="L57" t="s">
        <v>240</v>
      </c>
    </row>
    <row r="58" spans="1:12" x14ac:dyDescent="0.3">
      <c r="A58" s="57" t="s">
        <v>321</v>
      </c>
      <c r="B58" s="57" t="s">
        <v>195</v>
      </c>
      <c r="C58" s="57" t="s">
        <v>196</v>
      </c>
      <c r="D58" s="57" t="s">
        <v>146</v>
      </c>
      <c r="E58" s="57" t="s">
        <v>149</v>
      </c>
      <c r="F58">
        <v>5</v>
      </c>
      <c r="G58">
        <v>7000</v>
      </c>
      <c r="H58" s="11">
        <v>45394</v>
      </c>
      <c r="I58" s="57" t="s">
        <v>257</v>
      </c>
      <c r="J58" s="57" t="s">
        <v>143</v>
      </c>
      <c r="K58" s="57" t="s">
        <v>238</v>
      </c>
      <c r="L58" t="s">
        <v>243</v>
      </c>
    </row>
    <row r="59" spans="1:12" x14ac:dyDescent="0.3">
      <c r="A59" s="57" t="s">
        <v>322</v>
      </c>
      <c r="B59" s="57" t="s">
        <v>262</v>
      </c>
      <c r="C59" s="57" t="s">
        <v>263</v>
      </c>
      <c r="D59" s="57" t="s">
        <v>148</v>
      </c>
      <c r="E59" s="57" t="s">
        <v>142</v>
      </c>
      <c r="F59">
        <v>10</v>
      </c>
      <c r="G59">
        <v>5900</v>
      </c>
      <c r="H59" s="11">
        <v>45619</v>
      </c>
      <c r="I59" s="57" t="s">
        <v>266</v>
      </c>
      <c r="J59" s="57" t="s">
        <v>150</v>
      </c>
      <c r="K59" s="57" t="s">
        <v>238</v>
      </c>
      <c r="L59" t="s">
        <v>240</v>
      </c>
    </row>
    <row r="60" spans="1:12" x14ac:dyDescent="0.3">
      <c r="A60" s="57" t="s">
        <v>323</v>
      </c>
      <c r="B60" s="57" t="s">
        <v>262</v>
      </c>
      <c r="C60" s="57" t="s">
        <v>263</v>
      </c>
      <c r="D60" s="57" t="s">
        <v>238</v>
      </c>
      <c r="E60" s="57" t="s">
        <v>256</v>
      </c>
      <c r="F60">
        <v>7</v>
      </c>
      <c r="G60">
        <v>5900</v>
      </c>
      <c r="H60" s="11">
        <v>45144</v>
      </c>
      <c r="I60" s="57" t="s">
        <v>89</v>
      </c>
      <c r="J60" s="57" t="s">
        <v>143</v>
      </c>
      <c r="K60" s="57" t="s">
        <v>238</v>
      </c>
      <c r="L60" t="s">
        <v>240</v>
      </c>
    </row>
    <row r="61" spans="1:12" x14ac:dyDescent="0.3">
      <c r="A61" s="57" t="s">
        <v>324</v>
      </c>
      <c r="B61" s="57" t="s">
        <v>262</v>
      </c>
      <c r="C61" s="57" t="s">
        <v>263</v>
      </c>
      <c r="D61" s="57" t="s">
        <v>153</v>
      </c>
      <c r="E61" s="57" t="s">
        <v>149</v>
      </c>
      <c r="F61">
        <v>0</v>
      </c>
      <c r="G61">
        <v>5900</v>
      </c>
      <c r="H61" s="11">
        <v>45630</v>
      </c>
      <c r="I61" s="57" t="s">
        <v>242</v>
      </c>
      <c r="J61" s="57" t="s">
        <v>147</v>
      </c>
      <c r="K61" s="57" t="s">
        <v>249</v>
      </c>
      <c r="L61" t="s">
        <v>240</v>
      </c>
    </row>
    <row r="62" spans="1:12" x14ac:dyDescent="0.3">
      <c r="A62" s="57" t="s">
        <v>325</v>
      </c>
      <c r="B62" s="57" t="s">
        <v>262</v>
      </c>
      <c r="C62" s="57" t="s">
        <v>263</v>
      </c>
      <c r="D62" s="57" t="s">
        <v>141</v>
      </c>
      <c r="E62" s="57" t="s">
        <v>149</v>
      </c>
      <c r="F62">
        <v>10</v>
      </c>
      <c r="G62">
        <v>5900</v>
      </c>
      <c r="H62" s="11">
        <v>45199</v>
      </c>
      <c r="I62" s="57" t="s">
        <v>257</v>
      </c>
      <c r="J62" s="57" t="s">
        <v>248</v>
      </c>
      <c r="K62" s="57" t="s">
        <v>253</v>
      </c>
      <c r="L62" t="s">
        <v>240</v>
      </c>
    </row>
    <row r="63" spans="1:12" x14ac:dyDescent="0.3">
      <c r="A63" s="57" t="s">
        <v>326</v>
      </c>
      <c r="B63" s="57" t="s">
        <v>262</v>
      </c>
      <c r="C63" s="57" t="s">
        <v>263</v>
      </c>
      <c r="D63" s="57" t="s">
        <v>153</v>
      </c>
      <c r="E63" s="57" t="s">
        <v>149</v>
      </c>
      <c r="F63">
        <v>5</v>
      </c>
      <c r="G63">
        <v>1222</v>
      </c>
      <c r="H63" s="11">
        <v>45303</v>
      </c>
      <c r="I63" s="57" t="s">
        <v>89</v>
      </c>
      <c r="J63" s="57" t="s">
        <v>145</v>
      </c>
      <c r="K63" s="57" t="s">
        <v>239</v>
      </c>
      <c r="L63" t="s">
        <v>258</v>
      </c>
    </row>
    <row r="64" spans="1:12" x14ac:dyDescent="0.3">
      <c r="A64" s="57" t="s">
        <v>327</v>
      </c>
      <c r="B64" s="57" t="s">
        <v>247</v>
      </c>
      <c r="C64" s="57" t="s">
        <v>237</v>
      </c>
      <c r="D64" s="57" t="s">
        <v>238</v>
      </c>
      <c r="E64" s="57" t="s">
        <v>149</v>
      </c>
      <c r="F64">
        <v>10</v>
      </c>
      <c r="G64">
        <v>2991</v>
      </c>
      <c r="H64" s="11">
        <v>45502</v>
      </c>
      <c r="I64" s="57" t="s">
        <v>242</v>
      </c>
      <c r="J64" s="57" t="s">
        <v>145</v>
      </c>
      <c r="K64" s="57" t="s">
        <v>239</v>
      </c>
      <c r="L64" t="s">
        <v>258</v>
      </c>
    </row>
    <row r="65" spans="1:12" x14ac:dyDescent="0.3">
      <c r="A65" s="57" t="s">
        <v>328</v>
      </c>
      <c r="B65" s="57" t="s">
        <v>247</v>
      </c>
      <c r="C65" s="57" t="s">
        <v>237</v>
      </c>
      <c r="D65" s="57" t="s">
        <v>151</v>
      </c>
      <c r="E65" s="57" t="s">
        <v>142</v>
      </c>
      <c r="F65">
        <v>10</v>
      </c>
      <c r="G65">
        <v>7000</v>
      </c>
      <c r="H65" s="11">
        <v>45508</v>
      </c>
      <c r="I65" s="57" t="s">
        <v>92</v>
      </c>
      <c r="J65" s="57" t="s">
        <v>143</v>
      </c>
      <c r="K65" s="57" t="s">
        <v>197</v>
      </c>
      <c r="L65" t="s">
        <v>243</v>
      </c>
    </row>
    <row r="66" spans="1:12" x14ac:dyDescent="0.3">
      <c r="A66" s="57" t="s">
        <v>329</v>
      </c>
      <c r="B66" s="57" t="s">
        <v>195</v>
      </c>
      <c r="C66" s="57" t="s">
        <v>196</v>
      </c>
      <c r="D66" s="57" t="s">
        <v>144</v>
      </c>
      <c r="E66" s="57" t="s">
        <v>252</v>
      </c>
      <c r="F66">
        <v>7</v>
      </c>
      <c r="G66">
        <v>3114</v>
      </c>
      <c r="H66" s="11">
        <v>44946</v>
      </c>
      <c r="I66" s="57" t="s">
        <v>100</v>
      </c>
      <c r="J66" s="57" t="s">
        <v>147</v>
      </c>
      <c r="K66" s="57" t="s">
        <v>197</v>
      </c>
      <c r="L66" t="s">
        <v>258</v>
      </c>
    </row>
    <row r="67" spans="1:12" x14ac:dyDescent="0.3">
      <c r="A67" s="57" t="s">
        <v>330</v>
      </c>
      <c r="B67" s="57" t="s">
        <v>255</v>
      </c>
      <c r="C67" s="57" t="s">
        <v>237</v>
      </c>
      <c r="D67" s="57" t="s">
        <v>238</v>
      </c>
      <c r="E67" s="57" t="s">
        <v>252</v>
      </c>
      <c r="F67">
        <v>10</v>
      </c>
      <c r="G67">
        <v>3414</v>
      </c>
      <c r="H67" s="11">
        <v>45144</v>
      </c>
      <c r="I67" s="57" t="s">
        <v>242</v>
      </c>
      <c r="J67" s="57" t="s">
        <v>143</v>
      </c>
      <c r="K67" s="57" t="s">
        <v>197</v>
      </c>
      <c r="L67" t="s">
        <v>258</v>
      </c>
    </row>
    <row r="68" spans="1:12" x14ac:dyDescent="0.3">
      <c r="A68" s="57" t="s">
        <v>331</v>
      </c>
      <c r="B68" s="57" t="s">
        <v>262</v>
      </c>
      <c r="C68" s="57" t="s">
        <v>263</v>
      </c>
      <c r="D68" s="57" t="s">
        <v>152</v>
      </c>
      <c r="E68" s="57" t="s">
        <v>252</v>
      </c>
      <c r="F68">
        <v>10</v>
      </c>
      <c r="G68">
        <v>7000</v>
      </c>
      <c r="H68" s="11">
        <v>45176</v>
      </c>
      <c r="I68" s="57" t="s">
        <v>257</v>
      </c>
      <c r="J68" s="57" t="s">
        <v>145</v>
      </c>
      <c r="K68" s="57" t="s">
        <v>249</v>
      </c>
      <c r="L68" t="s">
        <v>243</v>
      </c>
    </row>
    <row r="69" spans="1:12" x14ac:dyDescent="0.3">
      <c r="A69" s="57" t="s">
        <v>332</v>
      </c>
      <c r="B69" s="57" t="s">
        <v>245</v>
      </c>
      <c r="C69" s="57" t="s">
        <v>237</v>
      </c>
      <c r="D69" s="57" t="s">
        <v>153</v>
      </c>
      <c r="E69" s="57" t="s">
        <v>252</v>
      </c>
      <c r="F69">
        <v>10</v>
      </c>
      <c r="G69">
        <v>7000</v>
      </c>
      <c r="H69" s="11">
        <v>44928</v>
      </c>
      <c r="I69" s="57" t="s">
        <v>257</v>
      </c>
      <c r="J69" s="57" t="s">
        <v>150</v>
      </c>
      <c r="K69" s="57" t="s">
        <v>264</v>
      </c>
      <c r="L69" t="s">
        <v>243</v>
      </c>
    </row>
    <row r="70" spans="1:12" x14ac:dyDescent="0.3">
      <c r="A70" s="57" t="s">
        <v>333</v>
      </c>
      <c r="B70" s="57" t="s">
        <v>255</v>
      </c>
      <c r="C70" s="57" t="s">
        <v>237</v>
      </c>
      <c r="D70" s="57" t="s">
        <v>152</v>
      </c>
      <c r="E70" s="57" t="s">
        <v>260</v>
      </c>
      <c r="F70">
        <v>0</v>
      </c>
      <c r="G70">
        <v>5900</v>
      </c>
      <c r="H70" s="11">
        <v>45003</v>
      </c>
      <c r="I70" s="57" t="s">
        <v>242</v>
      </c>
      <c r="J70" s="57" t="s">
        <v>150</v>
      </c>
      <c r="K70" s="57" t="s">
        <v>253</v>
      </c>
      <c r="L70" t="s">
        <v>240</v>
      </c>
    </row>
    <row r="71" spans="1:12" x14ac:dyDescent="0.3">
      <c r="A71" s="57" t="s">
        <v>334</v>
      </c>
      <c r="B71" s="57" t="s">
        <v>262</v>
      </c>
      <c r="C71" s="57" t="s">
        <v>263</v>
      </c>
      <c r="D71" s="57" t="s">
        <v>144</v>
      </c>
      <c r="E71" s="57" t="s">
        <v>256</v>
      </c>
      <c r="F71">
        <v>6</v>
      </c>
      <c r="G71">
        <v>7000</v>
      </c>
      <c r="H71" s="11">
        <v>45068</v>
      </c>
      <c r="I71" s="57" t="s">
        <v>89</v>
      </c>
      <c r="J71" s="57" t="s">
        <v>145</v>
      </c>
      <c r="K71" s="57" t="s">
        <v>253</v>
      </c>
      <c r="L71" t="s">
        <v>243</v>
      </c>
    </row>
    <row r="72" spans="1:12" x14ac:dyDescent="0.3">
      <c r="A72" s="57" t="s">
        <v>335</v>
      </c>
      <c r="B72" s="57" t="s">
        <v>195</v>
      </c>
      <c r="C72" s="57" t="s">
        <v>196</v>
      </c>
      <c r="D72" s="57" t="s">
        <v>238</v>
      </c>
      <c r="E72" s="57" t="s">
        <v>260</v>
      </c>
      <c r="F72">
        <v>0</v>
      </c>
      <c r="G72">
        <v>5900</v>
      </c>
      <c r="H72" s="11">
        <v>45410</v>
      </c>
      <c r="I72" s="57" t="s">
        <v>242</v>
      </c>
      <c r="J72" s="57" t="s">
        <v>150</v>
      </c>
      <c r="K72" s="57" t="s">
        <v>253</v>
      </c>
      <c r="L72" t="s">
        <v>240</v>
      </c>
    </row>
    <row r="73" spans="1:12" x14ac:dyDescent="0.3">
      <c r="A73" s="57" t="s">
        <v>336</v>
      </c>
      <c r="B73" s="57" t="s">
        <v>268</v>
      </c>
      <c r="C73" s="57" t="s">
        <v>269</v>
      </c>
      <c r="D73" s="57" t="s">
        <v>238</v>
      </c>
      <c r="E73" s="57" t="s">
        <v>252</v>
      </c>
      <c r="F73">
        <v>0</v>
      </c>
      <c r="G73">
        <v>2155</v>
      </c>
      <c r="H73" s="11">
        <v>45436</v>
      </c>
      <c r="I73" s="57" t="s">
        <v>257</v>
      </c>
      <c r="J73" s="57" t="s">
        <v>143</v>
      </c>
      <c r="K73" s="57" t="s">
        <v>197</v>
      </c>
      <c r="L73" t="s">
        <v>258</v>
      </c>
    </row>
    <row r="74" spans="1:12" x14ac:dyDescent="0.3">
      <c r="A74" s="57" t="s">
        <v>337</v>
      </c>
      <c r="B74" s="57" t="s">
        <v>195</v>
      </c>
      <c r="C74" s="57" t="s">
        <v>196</v>
      </c>
      <c r="D74" s="57" t="s">
        <v>238</v>
      </c>
      <c r="E74" s="57" t="s">
        <v>256</v>
      </c>
      <c r="F74">
        <v>7</v>
      </c>
      <c r="G74">
        <v>7000</v>
      </c>
      <c r="H74" s="11">
        <v>45245</v>
      </c>
      <c r="I74" s="57" t="s">
        <v>89</v>
      </c>
      <c r="J74" s="57" t="s">
        <v>150</v>
      </c>
      <c r="K74" s="57" t="s">
        <v>238</v>
      </c>
      <c r="L74" t="s">
        <v>243</v>
      </c>
    </row>
    <row r="75" spans="1:12" x14ac:dyDescent="0.3">
      <c r="A75" s="57" t="s">
        <v>338</v>
      </c>
      <c r="B75" s="57" t="s">
        <v>273</v>
      </c>
      <c r="C75" s="57" t="s">
        <v>237</v>
      </c>
      <c r="D75" s="57" t="s">
        <v>238</v>
      </c>
      <c r="E75" s="57" t="s">
        <v>260</v>
      </c>
      <c r="F75">
        <v>5</v>
      </c>
      <c r="G75">
        <v>7000</v>
      </c>
      <c r="H75" s="11">
        <v>45468</v>
      </c>
      <c r="I75" s="57" t="s">
        <v>92</v>
      </c>
      <c r="J75" s="57" t="s">
        <v>147</v>
      </c>
      <c r="K75" s="57" t="s">
        <v>238</v>
      </c>
      <c r="L75" t="s">
        <v>243</v>
      </c>
    </row>
    <row r="76" spans="1:12" x14ac:dyDescent="0.3">
      <c r="A76" s="57" t="s">
        <v>339</v>
      </c>
      <c r="B76" s="57" t="s">
        <v>251</v>
      </c>
      <c r="C76" s="57" t="s">
        <v>237</v>
      </c>
      <c r="D76" s="57" t="s">
        <v>148</v>
      </c>
      <c r="E76" s="57" t="s">
        <v>142</v>
      </c>
      <c r="F76">
        <v>7</v>
      </c>
      <c r="G76">
        <v>3601</v>
      </c>
      <c r="H76" s="11">
        <v>45054</v>
      </c>
      <c r="I76" s="57" t="s">
        <v>266</v>
      </c>
      <c r="J76" s="57" t="s">
        <v>150</v>
      </c>
      <c r="K76" s="57" t="s">
        <v>264</v>
      </c>
      <c r="L76" t="s">
        <v>258</v>
      </c>
    </row>
    <row r="77" spans="1:12" x14ac:dyDescent="0.3">
      <c r="A77" s="57" t="s">
        <v>340</v>
      </c>
      <c r="B77" s="57" t="s">
        <v>251</v>
      </c>
      <c r="C77" s="57" t="s">
        <v>237</v>
      </c>
      <c r="D77" s="57" t="s">
        <v>238</v>
      </c>
      <c r="E77" s="57" t="s">
        <v>149</v>
      </c>
      <c r="F77">
        <v>0</v>
      </c>
      <c r="G77">
        <v>5900</v>
      </c>
      <c r="H77" s="11">
        <v>44947</v>
      </c>
      <c r="I77" s="57" t="s">
        <v>291</v>
      </c>
      <c r="J77" s="57" t="s">
        <v>150</v>
      </c>
      <c r="K77" s="57" t="s">
        <v>197</v>
      </c>
      <c r="L77" t="s">
        <v>240</v>
      </c>
    </row>
    <row r="78" spans="1:12" x14ac:dyDescent="0.3">
      <c r="A78" s="57" t="s">
        <v>341</v>
      </c>
      <c r="B78" s="57" t="s">
        <v>262</v>
      </c>
      <c r="C78" s="57" t="s">
        <v>263</v>
      </c>
      <c r="D78" s="57" t="s">
        <v>151</v>
      </c>
      <c r="E78" s="57" t="s">
        <v>260</v>
      </c>
      <c r="F78">
        <v>5</v>
      </c>
      <c r="G78">
        <v>3968</v>
      </c>
      <c r="H78" s="11">
        <v>45142</v>
      </c>
      <c r="I78" s="57" t="s">
        <v>257</v>
      </c>
      <c r="J78" s="57" t="s">
        <v>147</v>
      </c>
      <c r="K78" s="57" t="s">
        <v>253</v>
      </c>
      <c r="L78" t="s">
        <v>258</v>
      </c>
    </row>
    <row r="79" spans="1:12" x14ac:dyDescent="0.3">
      <c r="A79" s="57" t="s">
        <v>342</v>
      </c>
      <c r="B79" s="57" t="s">
        <v>245</v>
      </c>
      <c r="C79" s="57" t="s">
        <v>237</v>
      </c>
      <c r="D79" s="57" t="s">
        <v>238</v>
      </c>
      <c r="E79" s="57" t="s">
        <v>256</v>
      </c>
      <c r="F79">
        <v>5</v>
      </c>
      <c r="G79">
        <v>7000</v>
      </c>
      <c r="H79" s="11">
        <v>45511</v>
      </c>
      <c r="I79" s="57" t="s">
        <v>266</v>
      </c>
      <c r="J79" s="57" t="s">
        <v>147</v>
      </c>
      <c r="K79" s="57" t="s">
        <v>239</v>
      </c>
      <c r="L79" t="s">
        <v>243</v>
      </c>
    </row>
    <row r="80" spans="1:12" x14ac:dyDescent="0.3">
      <c r="A80" s="57" t="s">
        <v>343</v>
      </c>
      <c r="B80" s="57" t="s">
        <v>268</v>
      </c>
      <c r="C80" s="57" t="s">
        <v>269</v>
      </c>
      <c r="D80" s="57" t="s">
        <v>146</v>
      </c>
      <c r="E80" s="57" t="s">
        <v>260</v>
      </c>
      <c r="F80">
        <v>5</v>
      </c>
      <c r="G80">
        <v>5900</v>
      </c>
      <c r="H80" s="11">
        <v>45396</v>
      </c>
      <c r="I80" s="57" t="s">
        <v>92</v>
      </c>
      <c r="J80" s="57" t="s">
        <v>145</v>
      </c>
      <c r="K80" s="57" t="s">
        <v>253</v>
      </c>
      <c r="L80" t="s">
        <v>240</v>
      </c>
    </row>
    <row r="81" spans="1:12" x14ac:dyDescent="0.3">
      <c r="A81" s="57" t="s">
        <v>344</v>
      </c>
      <c r="B81" s="57" t="s">
        <v>268</v>
      </c>
      <c r="C81" s="57" t="s">
        <v>269</v>
      </c>
      <c r="D81" s="57" t="s">
        <v>238</v>
      </c>
      <c r="E81" s="57" t="s">
        <v>252</v>
      </c>
      <c r="F81">
        <v>7</v>
      </c>
      <c r="G81">
        <v>7000</v>
      </c>
      <c r="H81" s="11">
        <v>45113</v>
      </c>
      <c r="I81" s="57" t="s">
        <v>266</v>
      </c>
      <c r="J81" s="57" t="s">
        <v>143</v>
      </c>
      <c r="K81" s="57" t="s">
        <v>239</v>
      </c>
      <c r="L81" t="s">
        <v>243</v>
      </c>
    </row>
    <row r="82" spans="1:12" x14ac:dyDescent="0.3">
      <c r="A82" s="57" t="s">
        <v>345</v>
      </c>
      <c r="B82" s="57" t="s">
        <v>262</v>
      </c>
      <c r="C82" s="57" t="s">
        <v>263</v>
      </c>
      <c r="D82" s="57" t="s">
        <v>238</v>
      </c>
      <c r="E82" s="57" t="s">
        <v>256</v>
      </c>
      <c r="F82">
        <v>7</v>
      </c>
      <c r="G82">
        <v>5900</v>
      </c>
      <c r="H82" s="11">
        <v>45506</v>
      </c>
      <c r="I82" s="57" t="s">
        <v>92</v>
      </c>
      <c r="J82" s="57" t="s">
        <v>145</v>
      </c>
      <c r="K82" s="57" t="s">
        <v>264</v>
      </c>
      <c r="L82" t="s">
        <v>240</v>
      </c>
    </row>
    <row r="83" spans="1:12" x14ac:dyDescent="0.3">
      <c r="A83" s="57" t="s">
        <v>346</v>
      </c>
      <c r="B83" s="57" t="s">
        <v>247</v>
      </c>
      <c r="C83" s="57" t="s">
        <v>237</v>
      </c>
      <c r="D83" s="57" t="s">
        <v>238</v>
      </c>
      <c r="E83" s="57" t="s">
        <v>142</v>
      </c>
      <c r="F83">
        <v>5</v>
      </c>
      <c r="G83">
        <v>7000</v>
      </c>
      <c r="H83" s="11">
        <v>45163</v>
      </c>
      <c r="I83" s="57" t="s">
        <v>266</v>
      </c>
      <c r="J83" s="57" t="s">
        <v>143</v>
      </c>
      <c r="K83" s="57" t="s">
        <v>197</v>
      </c>
      <c r="L83" t="s">
        <v>243</v>
      </c>
    </row>
    <row r="84" spans="1:12" x14ac:dyDescent="0.3">
      <c r="A84" s="57" t="s">
        <v>347</v>
      </c>
      <c r="B84" s="57" t="s">
        <v>268</v>
      </c>
      <c r="C84" s="57" t="s">
        <v>269</v>
      </c>
      <c r="D84" s="57" t="s">
        <v>238</v>
      </c>
      <c r="E84" s="57" t="s">
        <v>256</v>
      </c>
      <c r="F84">
        <v>7</v>
      </c>
      <c r="G84">
        <v>7000</v>
      </c>
      <c r="H84" s="11">
        <v>45074</v>
      </c>
      <c r="I84" s="57" t="s">
        <v>89</v>
      </c>
      <c r="J84" s="57" t="s">
        <v>248</v>
      </c>
      <c r="K84" s="57" t="s">
        <v>253</v>
      </c>
      <c r="L84" t="s">
        <v>243</v>
      </c>
    </row>
    <row r="85" spans="1:12" x14ac:dyDescent="0.3">
      <c r="A85" s="57" t="s">
        <v>348</v>
      </c>
      <c r="B85" s="57" t="s">
        <v>236</v>
      </c>
      <c r="C85" s="57" t="s">
        <v>237</v>
      </c>
      <c r="D85" s="57" t="s">
        <v>238</v>
      </c>
      <c r="E85" s="57" t="s">
        <v>256</v>
      </c>
      <c r="F85">
        <v>7</v>
      </c>
      <c r="G85">
        <v>7000</v>
      </c>
      <c r="H85" s="11">
        <v>45381</v>
      </c>
      <c r="I85" s="57" t="s">
        <v>100</v>
      </c>
      <c r="J85" s="57" t="s">
        <v>248</v>
      </c>
      <c r="K85" s="57" t="s">
        <v>197</v>
      </c>
      <c r="L85" t="s">
        <v>243</v>
      </c>
    </row>
    <row r="86" spans="1:12" x14ac:dyDescent="0.3">
      <c r="A86" s="57" t="s">
        <v>349</v>
      </c>
      <c r="B86" s="57" t="s">
        <v>251</v>
      </c>
      <c r="C86" s="57" t="s">
        <v>237</v>
      </c>
      <c r="D86" s="57" t="s">
        <v>153</v>
      </c>
      <c r="E86" s="57" t="s">
        <v>142</v>
      </c>
      <c r="F86">
        <v>7</v>
      </c>
      <c r="G86">
        <v>7000</v>
      </c>
      <c r="H86" s="11">
        <v>45422</v>
      </c>
      <c r="I86" s="57" t="s">
        <v>100</v>
      </c>
      <c r="J86" s="57" t="s">
        <v>143</v>
      </c>
      <c r="K86" s="57" t="s">
        <v>249</v>
      </c>
      <c r="L86" t="s">
        <v>243</v>
      </c>
    </row>
    <row r="87" spans="1:12" x14ac:dyDescent="0.3">
      <c r="A87" s="57" t="s">
        <v>350</v>
      </c>
      <c r="B87" s="57" t="s">
        <v>195</v>
      </c>
      <c r="C87" s="57" t="s">
        <v>196</v>
      </c>
      <c r="D87" s="57" t="s">
        <v>151</v>
      </c>
      <c r="E87" s="57" t="s">
        <v>142</v>
      </c>
      <c r="F87">
        <v>7</v>
      </c>
      <c r="G87">
        <v>7000</v>
      </c>
      <c r="H87" s="11">
        <v>45107</v>
      </c>
      <c r="I87" s="57" t="s">
        <v>100</v>
      </c>
      <c r="J87" s="57" t="s">
        <v>248</v>
      </c>
      <c r="K87" s="57" t="s">
        <v>264</v>
      </c>
      <c r="L87" t="s">
        <v>243</v>
      </c>
    </row>
    <row r="88" spans="1:12" x14ac:dyDescent="0.3">
      <c r="A88" s="57" t="s">
        <v>351</v>
      </c>
      <c r="B88" s="57" t="s">
        <v>251</v>
      </c>
      <c r="C88" s="57" t="s">
        <v>237</v>
      </c>
      <c r="D88" s="57" t="s">
        <v>141</v>
      </c>
      <c r="E88" s="57" t="s">
        <v>256</v>
      </c>
      <c r="F88">
        <v>4</v>
      </c>
      <c r="G88">
        <v>7000</v>
      </c>
      <c r="H88" s="11">
        <v>45444</v>
      </c>
      <c r="I88" s="57" t="s">
        <v>257</v>
      </c>
      <c r="J88" s="57" t="s">
        <v>143</v>
      </c>
      <c r="K88" s="57" t="s">
        <v>249</v>
      </c>
      <c r="L88" t="s">
        <v>243</v>
      </c>
    </row>
    <row r="89" spans="1:12" x14ac:dyDescent="0.3">
      <c r="A89" s="57" t="s">
        <v>352</v>
      </c>
      <c r="B89" s="57" t="s">
        <v>247</v>
      </c>
      <c r="C89" s="57" t="s">
        <v>237</v>
      </c>
      <c r="D89" s="57" t="s">
        <v>238</v>
      </c>
      <c r="E89" s="57" t="s">
        <v>260</v>
      </c>
      <c r="F89">
        <v>3</v>
      </c>
      <c r="G89">
        <v>7000</v>
      </c>
      <c r="H89" s="11">
        <v>45440</v>
      </c>
      <c r="I89" s="57" t="s">
        <v>257</v>
      </c>
      <c r="J89" s="57" t="s">
        <v>145</v>
      </c>
      <c r="K89" s="57" t="s">
        <v>264</v>
      </c>
      <c r="L89" t="s">
        <v>243</v>
      </c>
    </row>
    <row r="90" spans="1:12" x14ac:dyDescent="0.3">
      <c r="A90" s="57" t="s">
        <v>353</v>
      </c>
      <c r="B90" s="57" t="s">
        <v>251</v>
      </c>
      <c r="C90" s="57" t="s">
        <v>237</v>
      </c>
      <c r="D90" s="57" t="s">
        <v>153</v>
      </c>
      <c r="E90" s="57" t="s">
        <v>149</v>
      </c>
      <c r="F90">
        <v>0</v>
      </c>
      <c r="G90">
        <v>2355</v>
      </c>
      <c r="H90" s="11">
        <v>45200</v>
      </c>
      <c r="I90" s="57" t="s">
        <v>291</v>
      </c>
      <c r="J90" s="57" t="s">
        <v>147</v>
      </c>
      <c r="K90" s="57" t="s">
        <v>239</v>
      </c>
      <c r="L90" t="s">
        <v>258</v>
      </c>
    </row>
    <row r="91" spans="1:12" x14ac:dyDescent="0.3">
      <c r="A91" s="57" t="s">
        <v>354</v>
      </c>
      <c r="B91" s="57" t="s">
        <v>195</v>
      </c>
      <c r="C91" s="57" t="s">
        <v>196</v>
      </c>
      <c r="D91" s="57" t="s">
        <v>151</v>
      </c>
      <c r="E91" s="57" t="s">
        <v>149</v>
      </c>
      <c r="F91">
        <v>1</v>
      </c>
      <c r="G91">
        <v>7000</v>
      </c>
      <c r="H91" s="11">
        <v>45064</v>
      </c>
      <c r="I91" s="57" t="s">
        <v>100</v>
      </c>
      <c r="J91" s="57" t="s">
        <v>145</v>
      </c>
      <c r="K91" s="57" t="s">
        <v>197</v>
      </c>
      <c r="L91" t="s">
        <v>243</v>
      </c>
    </row>
    <row r="92" spans="1:12" x14ac:dyDescent="0.3">
      <c r="A92" s="57" t="s">
        <v>355</v>
      </c>
      <c r="B92" s="57" t="s">
        <v>236</v>
      </c>
      <c r="C92" s="57" t="s">
        <v>237</v>
      </c>
      <c r="D92" s="57" t="s">
        <v>144</v>
      </c>
      <c r="E92" s="57" t="s">
        <v>142</v>
      </c>
      <c r="F92">
        <v>7</v>
      </c>
      <c r="G92">
        <v>7000</v>
      </c>
      <c r="H92" s="11">
        <v>45234</v>
      </c>
      <c r="I92" s="57" t="s">
        <v>266</v>
      </c>
      <c r="J92" s="57" t="s">
        <v>145</v>
      </c>
      <c r="K92" s="57" t="s">
        <v>239</v>
      </c>
      <c r="L92" t="s">
        <v>243</v>
      </c>
    </row>
    <row r="93" spans="1:12" x14ac:dyDescent="0.3">
      <c r="A93" s="57" t="s">
        <v>356</v>
      </c>
      <c r="B93" s="57" t="s">
        <v>195</v>
      </c>
      <c r="C93" s="57" t="s">
        <v>196</v>
      </c>
      <c r="D93" s="57" t="s">
        <v>238</v>
      </c>
      <c r="E93" s="57" t="s">
        <v>252</v>
      </c>
      <c r="F93">
        <v>10</v>
      </c>
      <c r="G93">
        <v>5900</v>
      </c>
      <c r="H93" s="11">
        <v>45002</v>
      </c>
      <c r="I93" s="57" t="s">
        <v>92</v>
      </c>
      <c r="J93" s="57" t="s">
        <v>150</v>
      </c>
      <c r="K93" s="57" t="s">
        <v>197</v>
      </c>
      <c r="L93" t="s">
        <v>240</v>
      </c>
    </row>
    <row r="94" spans="1:12" x14ac:dyDescent="0.3">
      <c r="A94" s="57" t="s">
        <v>357</v>
      </c>
      <c r="B94" s="57" t="s">
        <v>268</v>
      </c>
      <c r="C94" s="57" t="s">
        <v>269</v>
      </c>
      <c r="D94" s="57" t="s">
        <v>144</v>
      </c>
      <c r="E94" s="57" t="s">
        <v>260</v>
      </c>
      <c r="F94">
        <v>5</v>
      </c>
      <c r="G94">
        <v>7000</v>
      </c>
      <c r="H94" s="11">
        <v>45058</v>
      </c>
      <c r="I94" s="57" t="s">
        <v>92</v>
      </c>
      <c r="J94" s="57" t="s">
        <v>145</v>
      </c>
      <c r="K94" s="57" t="s">
        <v>264</v>
      </c>
      <c r="L94" t="s">
        <v>243</v>
      </c>
    </row>
    <row r="95" spans="1:12" x14ac:dyDescent="0.3">
      <c r="A95" s="57" t="s">
        <v>358</v>
      </c>
      <c r="B95" s="57" t="s">
        <v>195</v>
      </c>
      <c r="C95" s="57" t="s">
        <v>196</v>
      </c>
      <c r="D95" s="57" t="s">
        <v>152</v>
      </c>
      <c r="E95" s="57" t="s">
        <v>256</v>
      </c>
      <c r="F95">
        <v>0</v>
      </c>
      <c r="G95">
        <v>5900</v>
      </c>
      <c r="H95" s="11">
        <v>45085</v>
      </c>
      <c r="I95" s="57" t="s">
        <v>266</v>
      </c>
      <c r="J95" s="57" t="s">
        <v>248</v>
      </c>
      <c r="K95" s="57" t="s">
        <v>197</v>
      </c>
      <c r="L95" t="s">
        <v>240</v>
      </c>
    </row>
    <row r="96" spans="1:12" x14ac:dyDescent="0.3">
      <c r="A96" s="57" t="s">
        <v>359</v>
      </c>
      <c r="B96" s="57" t="s">
        <v>262</v>
      </c>
      <c r="C96" s="57" t="s">
        <v>263</v>
      </c>
      <c r="D96" s="57" t="s">
        <v>153</v>
      </c>
      <c r="E96" s="57" t="s">
        <v>256</v>
      </c>
      <c r="F96">
        <v>0</v>
      </c>
      <c r="G96">
        <v>3411</v>
      </c>
      <c r="H96" s="11">
        <v>45390</v>
      </c>
      <c r="I96" s="57" t="s">
        <v>95</v>
      </c>
      <c r="J96" s="57" t="s">
        <v>145</v>
      </c>
      <c r="K96" s="57" t="s">
        <v>249</v>
      </c>
      <c r="L96" t="s">
        <v>258</v>
      </c>
    </row>
    <row r="97" spans="1:12" x14ac:dyDescent="0.3">
      <c r="A97" s="57" t="s">
        <v>360</v>
      </c>
      <c r="B97" s="57" t="s">
        <v>268</v>
      </c>
      <c r="C97" s="57" t="s">
        <v>269</v>
      </c>
      <c r="D97" s="57" t="s">
        <v>238</v>
      </c>
      <c r="E97" s="57" t="s">
        <v>142</v>
      </c>
      <c r="F97">
        <v>7</v>
      </c>
      <c r="G97">
        <v>7000</v>
      </c>
      <c r="H97" s="11">
        <v>45132</v>
      </c>
      <c r="I97" s="57" t="s">
        <v>89</v>
      </c>
      <c r="J97" s="57" t="s">
        <v>147</v>
      </c>
      <c r="K97" s="57" t="s">
        <v>239</v>
      </c>
      <c r="L97" t="s">
        <v>243</v>
      </c>
    </row>
    <row r="98" spans="1:12" x14ac:dyDescent="0.3">
      <c r="A98" s="57" t="s">
        <v>361</v>
      </c>
      <c r="B98" s="57" t="s">
        <v>273</v>
      </c>
      <c r="C98" s="57" t="s">
        <v>237</v>
      </c>
      <c r="D98" s="57" t="s">
        <v>153</v>
      </c>
      <c r="E98" s="57" t="s">
        <v>252</v>
      </c>
      <c r="F98">
        <v>0</v>
      </c>
      <c r="G98">
        <v>7000</v>
      </c>
      <c r="H98" s="11">
        <v>45559</v>
      </c>
      <c r="I98" s="57" t="s">
        <v>291</v>
      </c>
      <c r="J98" s="57" t="s">
        <v>147</v>
      </c>
      <c r="K98" s="57" t="s">
        <v>238</v>
      </c>
      <c r="L98" t="s">
        <v>243</v>
      </c>
    </row>
    <row r="99" spans="1:12" x14ac:dyDescent="0.3">
      <c r="A99" s="57" t="s">
        <v>362</v>
      </c>
      <c r="B99" s="57" t="s">
        <v>195</v>
      </c>
      <c r="C99" s="57" t="s">
        <v>196</v>
      </c>
      <c r="D99" s="57" t="s">
        <v>152</v>
      </c>
      <c r="E99" s="57" t="s">
        <v>142</v>
      </c>
      <c r="F99">
        <v>7</v>
      </c>
      <c r="G99">
        <v>5900</v>
      </c>
      <c r="H99" s="11">
        <v>45027</v>
      </c>
      <c r="I99" s="57" t="s">
        <v>257</v>
      </c>
      <c r="J99" s="57" t="s">
        <v>147</v>
      </c>
      <c r="K99" s="57" t="s">
        <v>239</v>
      </c>
      <c r="L99" t="s">
        <v>240</v>
      </c>
    </row>
    <row r="100" spans="1:12" x14ac:dyDescent="0.3">
      <c r="A100" s="57" t="s">
        <v>363</v>
      </c>
      <c r="B100" s="57" t="s">
        <v>268</v>
      </c>
      <c r="C100" s="57" t="s">
        <v>269</v>
      </c>
      <c r="D100" s="57" t="s">
        <v>238</v>
      </c>
      <c r="E100" s="57" t="s">
        <v>149</v>
      </c>
      <c r="F100">
        <v>8</v>
      </c>
      <c r="G100">
        <v>7000</v>
      </c>
      <c r="H100" s="11">
        <v>45046</v>
      </c>
      <c r="I100" s="57" t="s">
        <v>257</v>
      </c>
      <c r="J100" s="57" t="s">
        <v>150</v>
      </c>
      <c r="K100" s="57" t="s">
        <v>264</v>
      </c>
      <c r="L100" t="s">
        <v>243</v>
      </c>
    </row>
    <row r="101" spans="1:12" x14ac:dyDescent="0.3">
      <c r="A101" s="57" t="s">
        <v>364</v>
      </c>
      <c r="B101" s="57" t="s">
        <v>245</v>
      </c>
      <c r="C101" s="57" t="s">
        <v>237</v>
      </c>
      <c r="D101" s="57" t="s">
        <v>238</v>
      </c>
      <c r="E101" s="57" t="s">
        <v>260</v>
      </c>
      <c r="F101">
        <v>10</v>
      </c>
      <c r="G101">
        <v>5900</v>
      </c>
      <c r="H101" s="11">
        <v>45303</v>
      </c>
      <c r="I101" s="57" t="s">
        <v>100</v>
      </c>
      <c r="J101" s="57" t="s">
        <v>150</v>
      </c>
      <c r="K101" s="57" t="s">
        <v>238</v>
      </c>
      <c r="L101" t="s">
        <v>240</v>
      </c>
    </row>
    <row r="102" spans="1:12" x14ac:dyDescent="0.3">
      <c r="A102" s="57" t="s">
        <v>365</v>
      </c>
      <c r="B102" s="57" t="s">
        <v>251</v>
      </c>
      <c r="C102" s="57" t="s">
        <v>237</v>
      </c>
      <c r="D102" s="57" t="s">
        <v>153</v>
      </c>
      <c r="E102" s="57" t="s">
        <v>149</v>
      </c>
      <c r="F102">
        <v>5</v>
      </c>
      <c r="G102">
        <v>7000</v>
      </c>
      <c r="H102" s="11">
        <v>45543</v>
      </c>
      <c r="I102" s="57" t="s">
        <v>242</v>
      </c>
      <c r="J102" s="57" t="s">
        <v>248</v>
      </c>
      <c r="K102" s="57" t="s">
        <v>239</v>
      </c>
      <c r="L102" t="s">
        <v>243</v>
      </c>
    </row>
    <row r="103" spans="1:12" x14ac:dyDescent="0.3">
      <c r="A103" s="57" t="s">
        <v>366</v>
      </c>
      <c r="B103" s="57" t="s">
        <v>262</v>
      </c>
      <c r="C103" s="57" t="s">
        <v>263</v>
      </c>
      <c r="D103" s="57" t="s">
        <v>146</v>
      </c>
      <c r="E103" s="57" t="s">
        <v>252</v>
      </c>
      <c r="F103">
        <v>5</v>
      </c>
      <c r="G103">
        <v>7000</v>
      </c>
      <c r="H103" s="11">
        <v>44989</v>
      </c>
      <c r="I103" s="57" t="s">
        <v>257</v>
      </c>
      <c r="J103" s="57" t="s">
        <v>248</v>
      </c>
      <c r="K103" s="57" t="s">
        <v>239</v>
      </c>
      <c r="L103" t="s">
        <v>243</v>
      </c>
    </row>
    <row r="104" spans="1:12" x14ac:dyDescent="0.3">
      <c r="A104" s="57" t="s">
        <v>367</v>
      </c>
      <c r="B104" s="57" t="s">
        <v>195</v>
      </c>
      <c r="C104" s="57" t="s">
        <v>196</v>
      </c>
      <c r="D104" s="57" t="s">
        <v>141</v>
      </c>
      <c r="E104" s="57" t="s">
        <v>142</v>
      </c>
      <c r="F104">
        <v>10</v>
      </c>
      <c r="G104">
        <v>2361</v>
      </c>
      <c r="H104" s="11">
        <v>45067</v>
      </c>
      <c r="I104" s="57" t="s">
        <v>100</v>
      </c>
      <c r="J104" s="57" t="s">
        <v>145</v>
      </c>
      <c r="K104" s="57" t="s">
        <v>239</v>
      </c>
      <c r="L104" t="s">
        <v>258</v>
      </c>
    </row>
    <row r="105" spans="1:12" x14ac:dyDescent="0.3">
      <c r="A105" s="57" t="s">
        <v>368</v>
      </c>
      <c r="B105" s="57" t="s">
        <v>236</v>
      </c>
      <c r="C105" s="57" t="s">
        <v>237</v>
      </c>
      <c r="D105" s="57" t="s">
        <v>148</v>
      </c>
      <c r="E105" s="57" t="s">
        <v>142</v>
      </c>
      <c r="F105">
        <v>10</v>
      </c>
      <c r="G105">
        <v>7000</v>
      </c>
      <c r="H105" s="11">
        <v>45421</v>
      </c>
      <c r="I105" s="57" t="s">
        <v>257</v>
      </c>
      <c r="J105" s="57" t="s">
        <v>150</v>
      </c>
      <c r="K105" s="57" t="s">
        <v>239</v>
      </c>
      <c r="L105" t="s">
        <v>243</v>
      </c>
    </row>
    <row r="106" spans="1:12" x14ac:dyDescent="0.3">
      <c r="A106" s="57" t="s">
        <v>369</v>
      </c>
      <c r="B106" s="57" t="s">
        <v>268</v>
      </c>
      <c r="C106" s="57" t="s">
        <v>269</v>
      </c>
      <c r="D106" s="57" t="s">
        <v>146</v>
      </c>
      <c r="E106" s="57" t="s">
        <v>256</v>
      </c>
      <c r="F106">
        <v>5</v>
      </c>
      <c r="G106">
        <v>7000</v>
      </c>
      <c r="H106" s="11">
        <v>45205</v>
      </c>
      <c r="I106" s="57" t="s">
        <v>100</v>
      </c>
      <c r="J106" s="57" t="s">
        <v>150</v>
      </c>
      <c r="K106" s="57" t="s">
        <v>264</v>
      </c>
      <c r="L106" t="s">
        <v>243</v>
      </c>
    </row>
    <row r="107" spans="1:12" x14ac:dyDescent="0.3">
      <c r="A107" s="57" t="s">
        <v>370</v>
      </c>
      <c r="B107" s="57" t="s">
        <v>262</v>
      </c>
      <c r="C107" s="57" t="s">
        <v>263</v>
      </c>
      <c r="D107" s="57" t="s">
        <v>238</v>
      </c>
      <c r="E107" s="57" t="s">
        <v>256</v>
      </c>
      <c r="F107">
        <v>5</v>
      </c>
      <c r="G107">
        <v>5900</v>
      </c>
      <c r="H107" s="11">
        <v>45118</v>
      </c>
      <c r="I107" s="57" t="s">
        <v>92</v>
      </c>
      <c r="J107" s="57" t="s">
        <v>147</v>
      </c>
      <c r="K107" s="57" t="s">
        <v>238</v>
      </c>
      <c r="L107" t="s">
        <v>240</v>
      </c>
    </row>
    <row r="108" spans="1:12" x14ac:dyDescent="0.3">
      <c r="A108" s="57" t="s">
        <v>371</v>
      </c>
      <c r="B108" s="57" t="s">
        <v>247</v>
      </c>
      <c r="C108" s="57" t="s">
        <v>237</v>
      </c>
      <c r="D108" s="57" t="s">
        <v>238</v>
      </c>
      <c r="E108" s="57" t="s">
        <v>252</v>
      </c>
      <c r="F108">
        <v>0</v>
      </c>
      <c r="G108">
        <v>5900</v>
      </c>
      <c r="H108" s="11">
        <v>45542</v>
      </c>
      <c r="I108" s="57" t="s">
        <v>92</v>
      </c>
      <c r="J108" s="57" t="s">
        <v>147</v>
      </c>
      <c r="K108" s="57" t="s">
        <v>238</v>
      </c>
      <c r="L108" t="s">
        <v>240</v>
      </c>
    </row>
    <row r="109" spans="1:12" x14ac:dyDescent="0.3">
      <c r="A109" s="57" t="s">
        <v>372</v>
      </c>
      <c r="B109" s="57" t="s">
        <v>275</v>
      </c>
      <c r="C109" s="57" t="s">
        <v>276</v>
      </c>
      <c r="D109" s="57" t="s">
        <v>141</v>
      </c>
      <c r="E109" s="57" t="s">
        <v>142</v>
      </c>
      <c r="F109">
        <v>10</v>
      </c>
      <c r="G109">
        <v>7000</v>
      </c>
      <c r="H109" s="11">
        <v>45111</v>
      </c>
      <c r="I109" s="57" t="s">
        <v>92</v>
      </c>
      <c r="J109" s="57" t="s">
        <v>143</v>
      </c>
      <c r="K109" s="57" t="s">
        <v>239</v>
      </c>
      <c r="L109" t="s">
        <v>243</v>
      </c>
    </row>
    <row r="110" spans="1:12" x14ac:dyDescent="0.3">
      <c r="A110" s="57" t="s">
        <v>373</v>
      </c>
      <c r="B110" s="57" t="s">
        <v>245</v>
      </c>
      <c r="C110" s="57" t="s">
        <v>237</v>
      </c>
      <c r="D110" s="57" t="s">
        <v>141</v>
      </c>
      <c r="E110" s="57" t="s">
        <v>252</v>
      </c>
      <c r="F110">
        <v>10</v>
      </c>
      <c r="G110">
        <v>5900</v>
      </c>
      <c r="H110" s="11">
        <v>45113</v>
      </c>
      <c r="I110" s="57" t="s">
        <v>100</v>
      </c>
      <c r="J110" s="57" t="s">
        <v>248</v>
      </c>
      <c r="K110" s="57" t="s">
        <v>239</v>
      </c>
      <c r="L110" t="s">
        <v>240</v>
      </c>
    </row>
    <row r="111" spans="1:12" x14ac:dyDescent="0.3">
      <c r="A111" s="57" t="s">
        <v>374</v>
      </c>
      <c r="B111" s="57" t="s">
        <v>195</v>
      </c>
      <c r="C111" s="57" t="s">
        <v>196</v>
      </c>
      <c r="D111" s="57" t="s">
        <v>153</v>
      </c>
      <c r="E111" s="57" t="s">
        <v>149</v>
      </c>
      <c r="F111">
        <v>7</v>
      </c>
      <c r="G111">
        <v>1369</v>
      </c>
      <c r="H111" s="11">
        <v>45469</v>
      </c>
      <c r="I111" s="57" t="s">
        <v>242</v>
      </c>
      <c r="J111" s="57" t="s">
        <v>145</v>
      </c>
      <c r="K111" s="57" t="s">
        <v>197</v>
      </c>
      <c r="L111" t="s">
        <v>258</v>
      </c>
    </row>
    <row r="112" spans="1:12" x14ac:dyDescent="0.3">
      <c r="A112" s="57" t="s">
        <v>375</v>
      </c>
      <c r="B112" s="57" t="s">
        <v>255</v>
      </c>
      <c r="C112" s="57" t="s">
        <v>237</v>
      </c>
      <c r="D112" s="57" t="s">
        <v>238</v>
      </c>
      <c r="E112" s="57" t="s">
        <v>142</v>
      </c>
      <c r="F112">
        <v>7</v>
      </c>
      <c r="G112">
        <v>7000</v>
      </c>
      <c r="H112" s="11">
        <v>44947</v>
      </c>
      <c r="I112" s="57" t="s">
        <v>89</v>
      </c>
      <c r="J112" s="57" t="s">
        <v>143</v>
      </c>
      <c r="K112" s="57" t="s">
        <v>197</v>
      </c>
      <c r="L112" t="s">
        <v>243</v>
      </c>
    </row>
    <row r="113" spans="1:12" x14ac:dyDescent="0.3">
      <c r="A113" s="57" t="s">
        <v>376</v>
      </c>
      <c r="B113" s="57" t="s">
        <v>251</v>
      </c>
      <c r="C113" s="57" t="s">
        <v>237</v>
      </c>
      <c r="D113" s="57" t="s">
        <v>141</v>
      </c>
      <c r="E113" s="57" t="s">
        <v>149</v>
      </c>
      <c r="F113">
        <v>10</v>
      </c>
      <c r="G113">
        <v>7000</v>
      </c>
      <c r="H113" s="11">
        <v>45534</v>
      </c>
      <c r="I113" s="57" t="s">
        <v>89</v>
      </c>
      <c r="J113" s="57" t="s">
        <v>143</v>
      </c>
      <c r="K113" s="57" t="s">
        <v>249</v>
      </c>
      <c r="L113" t="s">
        <v>243</v>
      </c>
    </row>
    <row r="114" spans="1:12" x14ac:dyDescent="0.3">
      <c r="A114" s="57" t="s">
        <v>377</v>
      </c>
      <c r="B114" s="57" t="s">
        <v>255</v>
      </c>
      <c r="C114" s="57" t="s">
        <v>237</v>
      </c>
      <c r="D114" s="57" t="s">
        <v>238</v>
      </c>
      <c r="E114" s="57" t="s">
        <v>252</v>
      </c>
      <c r="F114">
        <v>5</v>
      </c>
      <c r="G114">
        <v>5900</v>
      </c>
      <c r="H114" s="11">
        <v>45113</v>
      </c>
      <c r="I114" s="57" t="s">
        <v>95</v>
      </c>
      <c r="J114" s="57" t="s">
        <v>145</v>
      </c>
      <c r="K114" s="57" t="s">
        <v>197</v>
      </c>
      <c r="L114" t="s">
        <v>240</v>
      </c>
    </row>
    <row r="115" spans="1:12" x14ac:dyDescent="0.3">
      <c r="A115" s="57" t="s">
        <v>378</v>
      </c>
      <c r="B115" s="57" t="s">
        <v>245</v>
      </c>
      <c r="C115" s="57" t="s">
        <v>237</v>
      </c>
      <c r="D115" s="57" t="s">
        <v>238</v>
      </c>
      <c r="E115" s="57" t="s">
        <v>260</v>
      </c>
      <c r="F115">
        <v>5</v>
      </c>
      <c r="G115">
        <v>7000</v>
      </c>
      <c r="H115" s="11">
        <v>45468</v>
      </c>
      <c r="I115" s="57" t="s">
        <v>92</v>
      </c>
      <c r="J115" s="57" t="s">
        <v>248</v>
      </c>
      <c r="K115" s="57" t="s">
        <v>249</v>
      </c>
      <c r="L115" t="s">
        <v>243</v>
      </c>
    </row>
    <row r="116" spans="1:12" x14ac:dyDescent="0.3">
      <c r="A116" s="57" t="s">
        <v>379</v>
      </c>
      <c r="B116" s="57" t="s">
        <v>275</v>
      </c>
      <c r="C116" s="57" t="s">
        <v>276</v>
      </c>
      <c r="D116" s="57" t="s">
        <v>238</v>
      </c>
      <c r="E116" s="57" t="s">
        <v>142</v>
      </c>
      <c r="F116">
        <v>0</v>
      </c>
      <c r="G116">
        <v>7000</v>
      </c>
      <c r="H116" s="11">
        <v>45405</v>
      </c>
      <c r="I116" s="57" t="s">
        <v>89</v>
      </c>
      <c r="J116" s="57" t="s">
        <v>150</v>
      </c>
      <c r="K116" s="57" t="s">
        <v>249</v>
      </c>
      <c r="L116" t="s">
        <v>243</v>
      </c>
    </row>
    <row r="117" spans="1:12" x14ac:dyDescent="0.3">
      <c r="A117" s="57" t="s">
        <v>380</v>
      </c>
      <c r="B117" s="57" t="s">
        <v>262</v>
      </c>
      <c r="C117" s="57" t="s">
        <v>263</v>
      </c>
      <c r="D117" s="57" t="s">
        <v>152</v>
      </c>
      <c r="E117" s="57" t="s">
        <v>260</v>
      </c>
      <c r="F117">
        <v>9</v>
      </c>
      <c r="G117">
        <v>7000</v>
      </c>
      <c r="H117" s="11">
        <v>45185</v>
      </c>
      <c r="I117" s="57" t="s">
        <v>266</v>
      </c>
      <c r="J117" s="57" t="s">
        <v>145</v>
      </c>
      <c r="K117" s="57" t="s">
        <v>197</v>
      </c>
      <c r="L117" t="s">
        <v>243</v>
      </c>
    </row>
    <row r="118" spans="1:12" x14ac:dyDescent="0.3">
      <c r="A118" s="57" t="s">
        <v>381</v>
      </c>
      <c r="B118" s="57" t="s">
        <v>236</v>
      </c>
      <c r="C118" s="57" t="s">
        <v>237</v>
      </c>
      <c r="D118" s="57" t="s">
        <v>141</v>
      </c>
      <c r="E118" s="57" t="s">
        <v>260</v>
      </c>
      <c r="F118">
        <v>7</v>
      </c>
      <c r="G118">
        <v>2060</v>
      </c>
      <c r="H118" s="11">
        <v>45017</v>
      </c>
      <c r="I118" s="57" t="s">
        <v>89</v>
      </c>
      <c r="J118" s="57" t="s">
        <v>150</v>
      </c>
      <c r="K118" s="57" t="s">
        <v>238</v>
      </c>
      <c r="L118" t="s">
        <v>258</v>
      </c>
    </row>
    <row r="119" spans="1:12" x14ac:dyDescent="0.3">
      <c r="A119" s="57" t="s">
        <v>382</v>
      </c>
      <c r="B119" s="57" t="s">
        <v>262</v>
      </c>
      <c r="C119" s="57" t="s">
        <v>263</v>
      </c>
      <c r="D119" s="57" t="s">
        <v>152</v>
      </c>
      <c r="E119" s="57" t="s">
        <v>260</v>
      </c>
      <c r="F119">
        <v>4</v>
      </c>
      <c r="G119">
        <v>7000</v>
      </c>
      <c r="H119" s="11">
        <v>45482</v>
      </c>
      <c r="I119" s="57" t="s">
        <v>95</v>
      </c>
      <c r="J119" s="57" t="s">
        <v>248</v>
      </c>
      <c r="K119" s="57" t="s">
        <v>239</v>
      </c>
      <c r="L119" t="s">
        <v>243</v>
      </c>
    </row>
    <row r="120" spans="1:12" x14ac:dyDescent="0.3">
      <c r="A120" s="57" t="s">
        <v>383</v>
      </c>
      <c r="B120" s="57" t="s">
        <v>268</v>
      </c>
      <c r="C120" s="57" t="s">
        <v>269</v>
      </c>
      <c r="D120" s="57" t="s">
        <v>148</v>
      </c>
      <c r="E120" s="57" t="s">
        <v>142</v>
      </c>
      <c r="F120">
        <v>10</v>
      </c>
      <c r="G120">
        <v>7000</v>
      </c>
      <c r="H120" s="11">
        <v>45524</v>
      </c>
      <c r="I120" s="57" t="s">
        <v>89</v>
      </c>
      <c r="J120" s="57" t="s">
        <v>145</v>
      </c>
      <c r="K120" s="57" t="s">
        <v>253</v>
      </c>
      <c r="L120" t="s">
        <v>243</v>
      </c>
    </row>
    <row r="121" spans="1:12" x14ac:dyDescent="0.3">
      <c r="A121" s="57" t="s">
        <v>384</v>
      </c>
      <c r="B121" s="57" t="s">
        <v>251</v>
      </c>
      <c r="C121" s="57" t="s">
        <v>237</v>
      </c>
      <c r="D121" s="57" t="s">
        <v>151</v>
      </c>
      <c r="E121" s="57" t="s">
        <v>260</v>
      </c>
      <c r="F121">
        <v>5</v>
      </c>
      <c r="G121">
        <v>7000</v>
      </c>
      <c r="H121" s="11">
        <v>45211</v>
      </c>
      <c r="I121" s="57" t="s">
        <v>100</v>
      </c>
      <c r="J121" s="57" t="s">
        <v>143</v>
      </c>
      <c r="K121" s="57" t="s">
        <v>239</v>
      </c>
      <c r="L121" t="s">
        <v>243</v>
      </c>
    </row>
    <row r="122" spans="1:12" x14ac:dyDescent="0.3">
      <c r="A122" s="57" t="s">
        <v>385</v>
      </c>
      <c r="B122" s="57" t="s">
        <v>273</v>
      </c>
      <c r="C122" s="57" t="s">
        <v>237</v>
      </c>
      <c r="D122" s="57" t="s">
        <v>238</v>
      </c>
      <c r="E122" s="57" t="s">
        <v>252</v>
      </c>
      <c r="F122">
        <v>0</v>
      </c>
      <c r="G122">
        <v>1397</v>
      </c>
      <c r="H122" s="11">
        <v>45482</v>
      </c>
      <c r="I122" s="57" t="s">
        <v>266</v>
      </c>
      <c r="J122" s="57" t="s">
        <v>248</v>
      </c>
      <c r="K122" s="57" t="s">
        <v>238</v>
      </c>
      <c r="L122" t="s">
        <v>258</v>
      </c>
    </row>
    <row r="123" spans="1:12" x14ac:dyDescent="0.3">
      <c r="A123" s="57" t="s">
        <v>386</v>
      </c>
      <c r="B123" s="57" t="s">
        <v>275</v>
      </c>
      <c r="C123" s="57" t="s">
        <v>276</v>
      </c>
      <c r="D123" s="57" t="s">
        <v>238</v>
      </c>
      <c r="E123" s="57" t="s">
        <v>256</v>
      </c>
      <c r="F123">
        <v>7</v>
      </c>
      <c r="G123">
        <v>7000</v>
      </c>
      <c r="H123" s="11">
        <v>45268</v>
      </c>
      <c r="I123" s="57" t="s">
        <v>100</v>
      </c>
      <c r="J123" s="57" t="s">
        <v>147</v>
      </c>
      <c r="K123" s="57" t="s">
        <v>264</v>
      </c>
      <c r="L123" t="s">
        <v>243</v>
      </c>
    </row>
    <row r="124" spans="1:12" x14ac:dyDescent="0.3">
      <c r="A124" s="57" t="s">
        <v>387</v>
      </c>
      <c r="B124" s="57" t="s">
        <v>195</v>
      </c>
      <c r="C124" s="57" t="s">
        <v>196</v>
      </c>
      <c r="D124" s="57" t="s">
        <v>148</v>
      </c>
      <c r="E124" s="57" t="s">
        <v>142</v>
      </c>
      <c r="F124">
        <v>7</v>
      </c>
      <c r="G124">
        <v>5900</v>
      </c>
      <c r="H124" s="11">
        <v>45152</v>
      </c>
      <c r="I124" s="57" t="s">
        <v>291</v>
      </c>
      <c r="J124" s="57" t="s">
        <v>147</v>
      </c>
      <c r="K124" s="57" t="s">
        <v>239</v>
      </c>
      <c r="L124" t="s">
        <v>240</v>
      </c>
    </row>
    <row r="125" spans="1:12" x14ac:dyDescent="0.3">
      <c r="A125" s="57" t="s">
        <v>388</v>
      </c>
      <c r="B125" s="57" t="s">
        <v>195</v>
      </c>
      <c r="C125" s="57" t="s">
        <v>196</v>
      </c>
      <c r="D125" s="57" t="s">
        <v>148</v>
      </c>
      <c r="E125" s="57" t="s">
        <v>252</v>
      </c>
      <c r="F125">
        <v>7</v>
      </c>
      <c r="G125">
        <v>3985</v>
      </c>
      <c r="H125" s="11">
        <v>45426</v>
      </c>
      <c r="I125" s="57" t="s">
        <v>242</v>
      </c>
      <c r="J125" s="57" t="s">
        <v>248</v>
      </c>
      <c r="K125" s="57" t="s">
        <v>249</v>
      </c>
      <c r="L125" t="s">
        <v>258</v>
      </c>
    </row>
    <row r="126" spans="1:12" x14ac:dyDescent="0.3">
      <c r="A126" s="57" t="s">
        <v>389</v>
      </c>
      <c r="B126" s="57" t="s">
        <v>247</v>
      </c>
      <c r="C126" s="57" t="s">
        <v>237</v>
      </c>
      <c r="D126" s="57" t="s">
        <v>141</v>
      </c>
      <c r="E126" s="57" t="s">
        <v>149</v>
      </c>
      <c r="F126">
        <v>4</v>
      </c>
      <c r="G126">
        <v>7000</v>
      </c>
      <c r="H126" s="11">
        <v>45305</v>
      </c>
      <c r="I126" s="57" t="s">
        <v>257</v>
      </c>
      <c r="J126" s="57" t="s">
        <v>150</v>
      </c>
      <c r="K126" s="57" t="s">
        <v>253</v>
      </c>
      <c r="L126" t="s">
        <v>243</v>
      </c>
    </row>
    <row r="127" spans="1:12" x14ac:dyDescent="0.3">
      <c r="A127" s="57" t="s">
        <v>390</v>
      </c>
      <c r="B127" s="57" t="s">
        <v>236</v>
      </c>
      <c r="C127" s="57" t="s">
        <v>237</v>
      </c>
      <c r="D127" s="57" t="s">
        <v>146</v>
      </c>
      <c r="E127" s="57" t="s">
        <v>260</v>
      </c>
      <c r="F127">
        <v>9</v>
      </c>
      <c r="G127">
        <v>5900</v>
      </c>
      <c r="H127" s="11">
        <v>45544</v>
      </c>
      <c r="I127" s="57" t="s">
        <v>95</v>
      </c>
      <c r="J127" s="57" t="s">
        <v>150</v>
      </c>
      <c r="K127" s="57" t="s">
        <v>239</v>
      </c>
      <c r="L127" t="s">
        <v>240</v>
      </c>
    </row>
    <row r="128" spans="1:12" x14ac:dyDescent="0.3">
      <c r="A128" s="57" t="s">
        <v>391</v>
      </c>
      <c r="B128" s="57" t="s">
        <v>247</v>
      </c>
      <c r="C128" s="57" t="s">
        <v>237</v>
      </c>
      <c r="D128" s="57" t="s">
        <v>238</v>
      </c>
      <c r="E128" s="57" t="s">
        <v>142</v>
      </c>
      <c r="F128">
        <v>10</v>
      </c>
      <c r="G128">
        <v>2899</v>
      </c>
      <c r="H128" s="11">
        <v>45329</v>
      </c>
      <c r="I128" s="57" t="s">
        <v>95</v>
      </c>
      <c r="J128" s="57" t="s">
        <v>145</v>
      </c>
      <c r="K128" s="57" t="s">
        <v>197</v>
      </c>
      <c r="L128" t="s">
        <v>258</v>
      </c>
    </row>
    <row r="129" spans="1:12" x14ac:dyDescent="0.3">
      <c r="A129" s="57" t="s">
        <v>392</v>
      </c>
      <c r="B129" s="57" t="s">
        <v>247</v>
      </c>
      <c r="C129" s="57" t="s">
        <v>237</v>
      </c>
      <c r="D129" s="57" t="s">
        <v>141</v>
      </c>
      <c r="E129" s="57" t="s">
        <v>260</v>
      </c>
      <c r="F129">
        <v>0</v>
      </c>
      <c r="G129">
        <v>7000</v>
      </c>
      <c r="H129" s="11">
        <v>45004</v>
      </c>
      <c r="I129" s="57" t="s">
        <v>291</v>
      </c>
      <c r="J129" s="57" t="s">
        <v>150</v>
      </c>
      <c r="K129" s="57" t="s">
        <v>238</v>
      </c>
      <c r="L129" t="s">
        <v>243</v>
      </c>
    </row>
    <row r="130" spans="1:12" x14ac:dyDescent="0.3">
      <c r="A130" s="57" t="s">
        <v>393</v>
      </c>
      <c r="B130" s="57" t="s">
        <v>275</v>
      </c>
      <c r="C130" s="57" t="s">
        <v>276</v>
      </c>
      <c r="D130" s="57" t="s">
        <v>151</v>
      </c>
      <c r="E130" s="57" t="s">
        <v>142</v>
      </c>
      <c r="F130">
        <v>7</v>
      </c>
      <c r="G130">
        <v>3484</v>
      </c>
      <c r="H130" s="11">
        <v>45066</v>
      </c>
      <c r="I130" s="57" t="s">
        <v>92</v>
      </c>
      <c r="J130" s="57" t="s">
        <v>147</v>
      </c>
      <c r="K130" s="57" t="s">
        <v>264</v>
      </c>
      <c r="L130" t="s">
        <v>258</v>
      </c>
    </row>
    <row r="131" spans="1:12" x14ac:dyDescent="0.3">
      <c r="A131" s="57" t="s">
        <v>394</v>
      </c>
      <c r="B131" s="57" t="s">
        <v>275</v>
      </c>
      <c r="C131" s="57" t="s">
        <v>276</v>
      </c>
      <c r="D131" s="57" t="s">
        <v>148</v>
      </c>
      <c r="E131" s="57" t="s">
        <v>142</v>
      </c>
      <c r="F131">
        <v>0</v>
      </c>
      <c r="G131">
        <v>7000</v>
      </c>
      <c r="H131" s="11">
        <v>45138</v>
      </c>
      <c r="I131" s="57" t="s">
        <v>89</v>
      </c>
      <c r="J131" s="57" t="s">
        <v>248</v>
      </c>
      <c r="K131" s="57" t="s">
        <v>238</v>
      </c>
      <c r="L131" t="s">
        <v>243</v>
      </c>
    </row>
    <row r="132" spans="1:12" x14ac:dyDescent="0.3">
      <c r="A132" s="57" t="s">
        <v>395</v>
      </c>
      <c r="B132" s="57" t="s">
        <v>255</v>
      </c>
      <c r="C132" s="57" t="s">
        <v>237</v>
      </c>
      <c r="D132" s="57" t="s">
        <v>238</v>
      </c>
      <c r="E132" s="57" t="s">
        <v>149</v>
      </c>
      <c r="F132">
        <v>10</v>
      </c>
      <c r="G132">
        <v>7000</v>
      </c>
      <c r="H132" s="11">
        <v>45143</v>
      </c>
      <c r="I132" s="57" t="s">
        <v>95</v>
      </c>
      <c r="J132" s="57" t="s">
        <v>143</v>
      </c>
      <c r="K132" s="57" t="s">
        <v>264</v>
      </c>
      <c r="L132" t="s">
        <v>243</v>
      </c>
    </row>
    <row r="133" spans="1:12" x14ac:dyDescent="0.3">
      <c r="A133" s="57" t="s">
        <v>396</v>
      </c>
      <c r="B133" s="57" t="s">
        <v>195</v>
      </c>
      <c r="C133" s="57" t="s">
        <v>196</v>
      </c>
      <c r="D133" s="57" t="s">
        <v>238</v>
      </c>
      <c r="E133" s="57" t="s">
        <v>256</v>
      </c>
      <c r="F133">
        <v>5</v>
      </c>
      <c r="G133">
        <v>7000</v>
      </c>
      <c r="H133" s="11">
        <v>45409</v>
      </c>
      <c r="I133" s="57" t="s">
        <v>95</v>
      </c>
      <c r="J133" s="57" t="s">
        <v>143</v>
      </c>
      <c r="K133" s="57" t="s">
        <v>197</v>
      </c>
      <c r="L133" t="s">
        <v>243</v>
      </c>
    </row>
    <row r="134" spans="1:12" x14ac:dyDescent="0.3">
      <c r="A134" s="57" t="s">
        <v>397</v>
      </c>
      <c r="B134" s="57" t="s">
        <v>255</v>
      </c>
      <c r="C134" s="57" t="s">
        <v>237</v>
      </c>
      <c r="D134" s="57" t="s">
        <v>146</v>
      </c>
      <c r="E134" s="57" t="s">
        <v>252</v>
      </c>
      <c r="F134">
        <v>5</v>
      </c>
      <c r="G134">
        <v>7000</v>
      </c>
      <c r="H134" s="11">
        <v>45116</v>
      </c>
      <c r="I134" s="57" t="s">
        <v>100</v>
      </c>
      <c r="J134" s="57" t="s">
        <v>150</v>
      </c>
      <c r="K134" s="57" t="s">
        <v>239</v>
      </c>
      <c r="L134" t="s">
        <v>243</v>
      </c>
    </row>
    <row r="135" spans="1:12" x14ac:dyDescent="0.3">
      <c r="A135" s="57" t="s">
        <v>398</v>
      </c>
      <c r="B135" s="57" t="s">
        <v>275</v>
      </c>
      <c r="C135" s="57" t="s">
        <v>276</v>
      </c>
      <c r="D135" s="57" t="s">
        <v>238</v>
      </c>
      <c r="E135" s="57" t="s">
        <v>149</v>
      </c>
      <c r="F135">
        <v>0</v>
      </c>
      <c r="G135">
        <v>5900</v>
      </c>
      <c r="H135" s="11">
        <v>45587</v>
      </c>
      <c r="I135" s="57" t="s">
        <v>266</v>
      </c>
      <c r="J135" s="57" t="s">
        <v>147</v>
      </c>
      <c r="K135" s="57" t="s">
        <v>264</v>
      </c>
      <c r="L135" t="s">
        <v>240</v>
      </c>
    </row>
    <row r="136" spans="1:12" x14ac:dyDescent="0.3">
      <c r="A136" s="57" t="s">
        <v>399</v>
      </c>
      <c r="B136" s="57" t="s">
        <v>247</v>
      </c>
      <c r="C136" s="57" t="s">
        <v>237</v>
      </c>
      <c r="D136" s="57" t="s">
        <v>238</v>
      </c>
      <c r="E136" s="57" t="s">
        <v>260</v>
      </c>
      <c r="F136">
        <v>0</v>
      </c>
      <c r="G136">
        <v>377</v>
      </c>
      <c r="H136" s="11">
        <v>45473</v>
      </c>
      <c r="I136" s="57" t="s">
        <v>291</v>
      </c>
      <c r="J136" s="57" t="s">
        <v>145</v>
      </c>
      <c r="K136" s="57" t="s">
        <v>253</v>
      </c>
      <c r="L136" t="s">
        <v>302</v>
      </c>
    </row>
    <row r="137" spans="1:12" x14ac:dyDescent="0.3">
      <c r="A137" s="57" t="s">
        <v>400</v>
      </c>
      <c r="B137" s="57" t="s">
        <v>236</v>
      </c>
      <c r="C137" s="57" t="s">
        <v>237</v>
      </c>
      <c r="D137" s="57" t="s">
        <v>146</v>
      </c>
      <c r="E137" s="57" t="s">
        <v>149</v>
      </c>
      <c r="F137">
        <v>5</v>
      </c>
      <c r="G137">
        <v>7000</v>
      </c>
      <c r="H137" s="11">
        <v>45476</v>
      </c>
      <c r="I137" s="57" t="s">
        <v>100</v>
      </c>
      <c r="J137" s="57" t="s">
        <v>248</v>
      </c>
      <c r="K137" s="57" t="s">
        <v>197</v>
      </c>
      <c r="L137" t="s">
        <v>243</v>
      </c>
    </row>
    <row r="138" spans="1:12" x14ac:dyDescent="0.3">
      <c r="A138" s="57" t="s">
        <v>401</v>
      </c>
      <c r="B138" s="57" t="s">
        <v>262</v>
      </c>
      <c r="C138" s="57" t="s">
        <v>263</v>
      </c>
      <c r="D138" s="57" t="s">
        <v>153</v>
      </c>
      <c r="E138" s="57" t="s">
        <v>252</v>
      </c>
      <c r="F138">
        <v>5</v>
      </c>
      <c r="G138">
        <v>7000</v>
      </c>
      <c r="H138" s="11">
        <v>45425</v>
      </c>
      <c r="I138" s="57" t="s">
        <v>257</v>
      </c>
      <c r="J138" s="57" t="s">
        <v>143</v>
      </c>
      <c r="K138" s="57" t="s">
        <v>253</v>
      </c>
      <c r="L138" t="s">
        <v>243</v>
      </c>
    </row>
    <row r="139" spans="1:12" x14ac:dyDescent="0.3">
      <c r="A139" s="57" t="s">
        <v>402</v>
      </c>
      <c r="B139" s="57" t="s">
        <v>273</v>
      </c>
      <c r="C139" s="57" t="s">
        <v>237</v>
      </c>
      <c r="D139" s="57" t="s">
        <v>146</v>
      </c>
      <c r="E139" s="57" t="s">
        <v>252</v>
      </c>
      <c r="F139">
        <v>5</v>
      </c>
      <c r="G139">
        <v>7000</v>
      </c>
      <c r="H139" s="11">
        <v>45372</v>
      </c>
      <c r="I139" s="57" t="s">
        <v>266</v>
      </c>
      <c r="J139" s="57" t="s">
        <v>143</v>
      </c>
      <c r="K139" s="57" t="s">
        <v>238</v>
      </c>
      <c r="L139" t="s">
        <v>243</v>
      </c>
    </row>
    <row r="140" spans="1:12" x14ac:dyDescent="0.3">
      <c r="A140" s="57" t="s">
        <v>403</v>
      </c>
      <c r="B140" s="57" t="s">
        <v>195</v>
      </c>
      <c r="C140" s="57" t="s">
        <v>196</v>
      </c>
      <c r="D140" s="57" t="s">
        <v>152</v>
      </c>
      <c r="E140" s="57" t="s">
        <v>149</v>
      </c>
      <c r="F140">
        <v>0</v>
      </c>
      <c r="G140">
        <v>7000</v>
      </c>
      <c r="H140" s="11">
        <v>45300</v>
      </c>
      <c r="I140" s="57" t="s">
        <v>92</v>
      </c>
      <c r="J140" s="57" t="s">
        <v>143</v>
      </c>
      <c r="K140" s="57" t="s">
        <v>253</v>
      </c>
      <c r="L140" t="s">
        <v>243</v>
      </c>
    </row>
    <row r="141" spans="1:12" x14ac:dyDescent="0.3">
      <c r="A141" s="57" t="s">
        <v>404</v>
      </c>
      <c r="B141" s="57" t="s">
        <v>255</v>
      </c>
      <c r="C141" s="57" t="s">
        <v>237</v>
      </c>
      <c r="D141" s="57" t="s">
        <v>146</v>
      </c>
      <c r="E141" s="57" t="s">
        <v>260</v>
      </c>
      <c r="F141">
        <v>0</v>
      </c>
      <c r="G141">
        <v>5900</v>
      </c>
      <c r="H141" s="11">
        <v>44934</v>
      </c>
      <c r="I141" s="57" t="s">
        <v>95</v>
      </c>
      <c r="J141" s="57" t="s">
        <v>143</v>
      </c>
      <c r="K141" s="57" t="s">
        <v>238</v>
      </c>
      <c r="L141" t="s">
        <v>240</v>
      </c>
    </row>
    <row r="142" spans="1:12" x14ac:dyDescent="0.3">
      <c r="A142" s="57" t="s">
        <v>405</v>
      </c>
      <c r="B142" s="57" t="s">
        <v>255</v>
      </c>
      <c r="C142" s="57" t="s">
        <v>237</v>
      </c>
      <c r="D142" s="57" t="s">
        <v>144</v>
      </c>
      <c r="E142" s="57" t="s">
        <v>260</v>
      </c>
      <c r="F142">
        <v>10</v>
      </c>
      <c r="G142">
        <v>5900</v>
      </c>
      <c r="H142" s="11">
        <v>45583</v>
      </c>
      <c r="I142" s="57" t="s">
        <v>89</v>
      </c>
      <c r="J142" s="57" t="s">
        <v>248</v>
      </c>
      <c r="K142" s="57" t="s">
        <v>264</v>
      </c>
      <c r="L142" t="s">
        <v>240</v>
      </c>
    </row>
    <row r="143" spans="1:12" x14ac:dyDescent="0.3">
      <c r="A143" s="57" t="s">
        <v>406</v>
      </c>
      <c r="B143" s="57" t="s">
        <v>268</v>
      </c>
      <c r="C143" s="57" t="s">
        <v>269</v>
      </c>
      <c r="D143" s="57" t="s">
        <v>148</v>
      </c>
      <c r="E143" s="57" t="s">
        <v>142</v>
      </c>
      <c r="F143">
        <v>0</v>
      </c>
      <c r="G143">
        <v>3772</v>
      </c>
      <c r="H143" s="11">
        <v>45482</v>
      </c>
      <c r="I143" s="57" t="s">
        <v>242</v>
      </c>
      <c r="J143" s="57" t="s">
        <v>147</v>
      </c>
      <c r="K143" s="57" t="s">
        <v>197</v>
      </c>
      <c r="L143" t="s">
        <v>258</v>
      </c>
    </row>
    <row r="144" spans="1:12" x14ac:dyDescent="0.3">
      <c r="A144" s="57" t="s">
        <v>407</v>
      </c>
      <c r="B144" s="57" t="s">
        <v>262</v>
      </c>
      <c r="C144" s="57" t="s">
        <v>263</v>
      </c>
      <c r="D144" s="57" t="s">
        <v>144</v>
      </c>
      <c r="E144" s="57" t="s">
        <v>149</v>
      </c>
      <c r="F144">
        <v>7</v>
      </c>
      <c r="G144">
        <v>7000</v>
      </c>
      <c r="H144" s="11">
        <v>45508</v>
      </c>
      <c r="I144" s="57" t="s">
        <v>95</v>
      </c>
      <c r="J144" s="57" t="s">
        <v>143</v>
      </c>
      <c r="K144" s="57" t="s">
        <v>239</v>
      </c>
      <c r="L144" t="s">
        <v>243</v>
      </c>
    </row>
    <row r="145" spans="1:12" x14ac:dyDescent="0.3">
      <c r="A145" s="57" t="s">
        <v>408</v>
      </c>
      <c r="B145" s="57" t="s">
        <v>262</v>
      </c>
      <c r="C145" s="57" t="s">
        <v>263</v>
      </c>
      <c r="D145" s="57" t="s">
        <v>151</v>
      </c>
      <c r="E145" s="57" t="s">
        <v>256</v>
      </c>
      <c r="F145">
        <v>7</v>
      </c>
      <c r="G145">
        <v>7000</v>
      </c>
      <c r="H145" s="11">
        <v>45323</v>
      </c>
      <c r="I145" s="57" t="s">
        <v>291</v>
      </c>
      <c r="J145" s="57" t="s">
        <v>150</v>
      </c>
      <c r="K145" s="57" t="s">
        <v>197</v>
      </c>
      <c r="L145" t="s">
        <v>243</v>
      </c>
    </row>
    <row r="146" spans="1:12" x14ac:dyDescent="0.3">
      <c r="A146" s="57" t="s">
        <v>409</v>
      </c>
      <c r="B146" s="57" t="s">
        <v>245</v>
      </c>
      <c r="C146" s="57" t="s">
        <v>237</v>
      </c>
      <c r="D146" s="57" t="s">
        <v>151</v>
      </c>
      <c r="E146" s="57" t="s">
        <v>142</v>
      </c>
      <c r="F146">
        <v>0</v>
      </c>
      <c r="G146">
        <v>7000</v>
      </c>
      <c r="H146" s="11">
        <v>45082</v>
      </c>
      <c r="I146" s="57" t="s">
        <v>257</v>
      </c>
      <c r="J146" s="57" t="s">
        <v>150</v>
      </c>
      <c r="K146" s="57" t="s">
        <v>238</v>
      </c>
      <c r="L146" t="s">
        <v>243</v>
      </c>
    </row>
    <row r="147" spans="1:12" x14ac:dyDescent="0.3">
      <c r="A147" s="57" t="s">
        <v>410</v>
      </c>
      <c r="B147" s="57" t="s">
        <v>255</v>
      </c>
      <c r="C147" s="57" t="s">
        <v>237</v>
      </c>
      <c r="D147" s="57" t="s">
        <v>151</v>
      </c>
      <c r="E147" s="57" t="s">
        <v>142</v>
      </c>
      <c r="F147">
        <v>10</v>
      </c>
      <c r="G147">
        <v>5900</v>
      </c>
      <c r="H147" s="11">
        <v>45370</v>
      </c>
      <c r="I147" s="57" t="s">
        <v>266</v>
      </c>
      <c r="J147" s="57" t="s">
        <v>248</v>
      </c>
      <c r="K147" s="57" t="s">
        <v>238</v>
      </c>
      <c r="L147" t="s">
        <v>240</v>
      </c>
    </row>
    <row r="148" spans="1:12" x14ac:dyDescent="0.3">
      <c r="A148" s="57" t="s">
        <v>411</v>
      </c>
      <c r="B148" s="57" t="s">
        <v>251</v>
      </c>
      <c r="C148" s="57" t="s">
        <v>237</v>
      </c>
      <c r="D148" s="57" t="s">
        <v>153</v>
      </c>
      <c r="E148" s="57" t="s">
        <v>260</v>
      </c>
      <c r="F148">
        <v>9</v>
      </c>
      <c r="G148">
        <v>7000</v>
      </c>
      <c r="H148" s="11">
        <v>45365</v>
      </c>
      <c r="I148" s="57" t="s">
        <v>95</v>
      </c>
      <c r="J148" s="57" t="s">
        <v>150</v>
      </c>
      <c r="K148" s="57" t="s">
        <v>238</v>
      </c>
      <c r="L148" t="s">
        <v>243</v>
      </c>
    </row>
    <row r="149" spans="1:12" x14ac:dyDescent="0.3">
      <c r="A149" s="57" t="s">
        <v>412</v>
      </c>
      <c r="B149" s="57" t="s">
        <v>255</v>
      </c>
      <c r="C149" s="57" t="s">
        <v>237</v>
      </c>
      <c r="D149" s="57" t="s">
        <v>238</v>
      </c>
      <c r="E149" s="57" t="s">
        <v>252</v>
      </c>
      <c r="F149">
        <v>10</v>
      </c>
      <c r="G149">
        <v>7000</v>
      </c>
      <c r="H149" s="11">
        <v>45362</v>
      </c>
      <c r="I149" s="57" t="s">
        <v>92</v>
      </c>
      <c r="J149" s="57" t="s">
        <v>143</v>
      </c>
      <c r="K149" s="57" t="s">
        <v>264</v>
      </c>
      <c r="L149" t="s">
        <v>243</v>
      </c>
    </row>
    <row r="150" spans="1:12" x14ac:dyDescent="0.3">
      <c r="A150" s="57" t="s">
        <v>413</v>
      </c>
      <c r="B150" s="57" t="s">
        <v>268</v>
      </c>
      <c r="C150" s="57" t="s">
        <v>269</v>
      </c>
      <c r="D150" s="57" t="s">
        <v>238</v>
      </c>
      <c r="E150" s="57" t="s">
        <v>252</v>
      </c>
      <c r="F150">
        <v>9</v>
      </c>
      <c r="G150">
        <v>4490</v>
      </c>
      <c r="H150" s="11">
        <v>45093</v>
      </c>
      <c r="I150" s="57" t="s">
        <v>291</v>
      </c>
      <c r="J150" s="57" t="s">
        <v>145</v>
      </c>
      <c r="K150" s="57" t="s">
        <v>238</v>
      </c>
      <c r="L150" t="s">
        <v>240</v>
      </c>
    </row>
    <row r="151" spans="1:12" x14ac:dyDescent="0.3">
      <c r="A151" s="57" t="s">
        <v>414</v>
      </c>
      <c r="B151" s="57" t="s">
        <v>262</v>
      </c>
      <c r="C151" s="57" t="s">
        <v>263</v>
      </c>
      <c r="D151" s="57" t="s">
        <v>238</v>
      </c>
      <c r="E151" s="57" t="s">
        <v>260</v>
      </c>
      <c r="F151">
        <v>4</v>
      </c>
      <c r="G151">
        <v>7000</v>
      </c>
      <c r="H151" s="11">
        <v>45329</v>
      </c>
      <c r="I151" s="57" t="s">
        <v>95</v>
      </c>
      <c r="J151" s="57" t="s">
        <v>248</v>
      </c>
      <c r="K151" s="57" t="s">
        <v>238</v>
      </c>
      <c r="L151" t="s">
        <v>243</v>
      </c>
    </row>
    <row r="152" spans="1:12" x14ac:dyDescent="0.3">
      <c r="A152" s="57" t="s">
        <v>415</v>
      </c>
      <c r="B152" s="57" t="s">
        <v>268</v>
      </c>
      <c r="C152" s="57" t="s">
        <v>269</v>
      </c>
      <c r="D152" s="57" t="s">
        <v>153</v>
      </c>
      <c r="E152" s="57" t="s">
        <v>260</v>
      </c>
      <c r="F152">
        <v>0</v>
      </c>
      <c r="G152">
        <v>5900</v>
      </c>
      <c r="H152" s="11">
        <v>45423</v>
      </c>
      <c r="I152" s="57" t="s">
        <v>92</v>
      </c>
      <c r="J152" s="57" t="s">
        <v>145</v>
      </c>
      <c r="K152" s="57" t="s">
        <v>238</v>
      </c>
      <c r="L152" t="s">
        <v>240</v>
      </c>
    </row>
    <row r="153" spans="1:12" x14ac:dyDescent="0.3">
      <c r="A153" s="57" t="s">
        <v>416</v>
      </c>
      <c r="B153" s="57" t="s">
        <v>247</v>
      </c>
      <c r="C153" s="57" t="s">
        <v>237</v>
      </c>
      <c r="D153" s="57" t="s">
        <v>238</v>
      </c>
      <c r="E153" s="57" t="s">
        <v>260</v>
      </c>
      <c r="F153">
        <v>0</v>
      </c>
      <c r="G153">
        <v>7000</v>
      </c>
      <c r="H153" s="11">
        <v>45282</v>
      </c>
      <c r="I153" s="57" t="s">
        <v>266</v>
      </c>
      <c r="J153" s="57" t="s">
        <v>150</v>
      </c>
      <c r="K153" s="57" t="s">
        <v>197</v>
      </c>
      <c r="L153" t="s">
        <v>243</v>
      </c>
    </row>
    <row r="154" spans="1:12" x14ac:dyDescent="0.3">
      <c r="A154" s="57" t="s">
        <v>417</v>
      </c>
      <c r="B154" s="57" t="s">
        <v>255</v>
      </c>
      <c r="C154" s="57" t="s">
        <v>237</v>
      </c>
      <c r="D154" s="57" t="s">
        <v>141</v>
      </c>
      <c r="E154" s="57" t="s">
        <v>142</v>
      </c>
      <c r="F154">
        <v>10</v>
      </c>
      <c r="G154">
        <v>7000</v>
      </c>
      <c r="H154" s="11">
        <v>45096</v>
      </c>
      <c r="I154" s="57" t="s">
        <v>291</v>
      </c>
      <c r="J154" s="57" t="s">
        <v>145</v>
      </c>
      <c r="K154" s="57" t="s">
        <v>197</v>
      </c>
      <c r="L154" t="s">
        <v>243</v>
      </c>
    </row>
    <row r="155" spans="1:12" x14ac:dyDescent="0.3">
      <c r="A155" s="57" t="s">
        <v>418</v>
      </c>
      <c r="B155" s="57" t="s">
        <v>268</v>
      </c>
      <c r="C155" s="57" t="s">
        <v>269</v>
      </c>
      <c r="D155" s="57" t="s">
        <v>238</v>
      </c>
      <c r="E155" s="57" t="s">
        <v>260</v>
      </c>
      <c r="F155">
        <v>5</v>
      </c>
      <c r="G155">
        <v>5900</v>
      </c>
      <c r="H155" s="11">
        <v>45439</v>
      </c>
      <c r="I155" s="57" t="s">
        <v>242</v>
      </c>
      <c r="J155" s="57" t="s">
        <v>147</v>
      </c>
      <c r="K155" s="57" t="s">
        <v>238</v>
      </c>
      <c r="L155" t="s">
        <v>240</v>
      </c>
    </row>
    <row r="156" spans="1:12" x14ac:dyDescent="0.3">
      <c r="A156" s="57" t="s">
        <v>419</v>
      </c>
      <c r="B156" s="57" t="s">
        <v>247</v>
      </c>
      <c r="C156" s="57" t="s">
        <v>237</v>
      </c>
      <c r="D156" s="57" t="s">
        <v>238</v>
      </c>
      <c r="E156" s="57" t="s">
        <v>142</v>
      </c>
      <c r="F156">
        <v>10</v>
      </c>
      <c r="G156">
        <v>7000</v>
      </c>
      <c r="H156" s="11">
        <v>45233</v>
      </c>
      <c r="I156" s="57" t="s">
        <v>266</v>
      </c>
      <c r="J156" s="57" t="s">
        <v>147</v>
      </c>
      <c r="K156" s="57" t="s">
        <v>239</v>
      </c>
      <c r="L156" t="s">
        <v>243</v>
      </c>
    </row>
    <row r="157" spans="1:12" x14ac:dyDescent="0.3">
      <c r="A157" s="57" t="s">
        <v>420</v>
      </c>
      <c r="B157" s="57" t="s">
        <v>245</v>
      </c>
      <c r="C157" s="57" t="s">
        <v>237</v>
      </c>
      <c r="D157" s="57" t="s">
        <v>153</v>
      </c>
      <c r="E157" s="57" t="s">
        <v>260</v>
      </c>
      <c r="F157">
        <v>7</v>
      </c>
      <c r="G157">
        <v>1137</v>
      </c>
      <c r="H157" s="11">
        <v>45240</v>
      </c>
      <c r="I157" s="57" t="s">
        <v>92</v>
      </c>
      <c r="J157" s="57" t="s">
        <v>147</v>
      </c>
      <c r="K157" s="57" t="s">
        <v>197</v>
      </c>
      <c r="L157" t="s">
        <v>258</v>
      </c>
    </row>
    <row r="158" spans="1:12" x14ac:dyDescent="0.3">
      <c r="A158" s="57" t="s">
        <v>421</v>
      </c>
      <c r="B158" s="57" t="s">
        <v>255</v>
      </c>
      <c r="C158" s="57" t="s">
        <v>237</v>
      </c>
      <c r="D158" s="57" t="s">
        <v>238</v>
      </c>
      <c r="E158" s="57" t="s">
        <v>252</v>
      </c>
      <c r="F158">
        <v>5</v>
      </c>
      <c r="G158">
        <v>7000</v>
      </c>
      <c r="H158" s="11">
        <v>45537</v>
      </c>
      <c r="I158" s="57" t="s">
        <v>291</v>
      </c>
      <c r="J158" s="57" t="s">
        <v>248</v>
      </c>
      <c r="K158" s="57" t="s">
        <v>197</v>
      </c>
      <c r="L158" t="s">
        <v>243</v>
      </c>
    </row>
    <row r="159" spans="1:12" x14ac:dyDescent="0.3">
      <c r="A159" s="57" t="s">
        <v>422</v>
      </c>
      <c r="B159" s="57" t="s">
        <v>247</v>
      </c>
      <c r="C159" s="57" t="s">
        <v>237</v>
      </c>
      <c r="D159" s="57" t="s">
        <v>238</v>
      </c>
      <c r="E159" s="57" t="s">
        <v>142</v>
      </c>
      <c r="F159">
        <v>0</v>
      </c>
      <c r="G159">
        <v>7000</v>
      </c>
      <c r="H159" s="11">
        <v>45045</v>
      </c>
      <c r="I159" s="57" t="s">
        <v>95</v>
      </c>
      <c r="J159" s="57" t="s">
        <v>145</v>
      </c>
      <c r="K159" s="57" t="s">
        <v>238</v>
      </c>
      <c r="L159" t="s">
        <v>243</v>
      </c>
    </row>
    <row r="160" spans="1:12" x14ac:dyDescent="0.3">
      <c r="A160" s="57" t="s">
        <v>423</v>
      </c>
      <c r="B160" s="57" t="s">
        <v>273</v>
      </c>
      <c r="C160" s="57" t="s">
        <v>237</v>
      </c>
      <c r="D160" s="57" t="s">
        <v>152</v>
      </c>
      <c r="E160" s="57" t="s">
        <v>260</v>
      </c>
      <c r="F160">
        <v>4</v>
      </c>
      <c r="G160">
        <v>1666</v>
      </c>
      <c r="H160" s="11">
        <v>45213</v>
      </c>
      <c r="I160" s="57" t="s">
        <v>242</v>
      </c>
      <c r="J160" s="57" t="s">
        <v>150</v>
      </c>
      <c r="K160" s="57" t="s">
        <v>239</v>
      </c>
      <c r="L160" t="s">
        <v>258</v>
      </c>
    </row>
    <row r="161" spans="1:12" x14ac:dyDescent="0.3">
      <c r="A161" s="57" t="s">
        <v>424</v>
      </c>
      <c r="B161" s="57" t="s">
        <v>245</v>
      </c>
      <c r="C161" s="57" t="s">
        <v>237</v>
      </c>
      <c r="D161" s="57" t="s">
        <v>146</v>
      </c>
      <c r="E161" s="57" t="s">
        <v>256</v>
      </c>
      <c r="F161">
        <v>0</v>
      </c>
      <c r="G161">
        <v>7000</v>
      </c>
      <c r="H161" s="11">
        <v>45435</v>
      </c>
      <c r="I161" s="57" t="s">
        <v>266</v>
      </c>
      <c r="J161" s="57" t="s">
        <v>145</v>
      </c>
      <c r="K161" s="57" t="s">
        <v>238</v>
      </c>
      <c r="L161" t="s">
        <v>243</v>
      </c>
    </row>
    <row r="162" spans="1:12" x14ac:dyDescent="0.3">
      <c r="A162" s="57" t="s">
        <v>425</v>
      </c>
      <c r="B162" s="57" t="s">
        <v>273</v>
      </c>
      <c r="C162" s="57" t="s">
        <v>237</v>
      </c>
      <c r="D162" s="57" t="s">
        <v>238</v>
      </c>
      <c r="E162" s="57" t="s">
        <v>252</v>
      </c>
      <c r="F162">
        <v>7</v>
      </c>
      <c r="G162">
        <v>5900</v>
      </c>
      <c r="H162" s="11">
        <v>45275</v>
      </c>
      <c r="I162" s="57" t="s">
        <v>242</v>
      </c>
      <c r="J162" s="57" t="s">
        <v>147</v>
      </c>
      <c r="K162" s="57" t="s">
        <v>239</v>
      </c>
      <c r="L162" t="s">
        <v>240</v>
      </c>
    </row>
    <row r="163" spans="1:12" x14ac:dyDescent="0.3">
      <c r="A163" s="57" t="s">
        <v>426</v>
      </c>
      <c r="B163" s="57" t="s">
        <v>195</v>
      </c>
      <c r="C163" s="57" t="s">
        <v>196</v>
      </c>
      <c r="D163" s="57" t="s">
        <v>153</v>
      </c>
      <c r="E163" s="57" t="s">
        <v>149</v>
      </c>
      <c r="F163">
        <v>10</v>
      </c>
      <c r="G163">
        <v>4711</v>
      </c>
      <c r="H163" s="11">
        <v>45103</v>
      </c>
      <c r="I163" s="57" t="s">
        <v>100</v>
      </c>
      <c r="J163" s="57" t="s">
        <v>150</v>
      </c>
      <c r="K163" s="57" t="s">
        <v>239</v>
      </c>
      <c r="L163" t="s">
        <v>240</v>
      </c>
    </row>
    <row r="164" spans="1:12" x14ac:dyDescent="0.3">
      <c r="A164" s="57" t="s">
        <v>427</v>
      </c>
      <c r="B164" s="57" t="s">
        <v>251</v>
      </c>
      <c r="C164" s="57" t="s">
        <v>237</v>
      </c>
      <c r="D164" s="57" t="s">
        <v>151</v>
      </c>
      <c r="E164" s="57" t="s">
        <v>260</v>
      </c>
      <c r="F164">
        <v>4</v>
      </c>
      <c r="G164">
        <v>7000</v>
      </c>
      <c r="H164" s="11">
        <v>45426</v>
      </c>
      <c r="I164" s="57" t="s">
        <v>92</v>
      </c>
      <c r="J164" s="57" t="s">
        <v>143</v>
      </c>
      <c r="K164" s="57" t="s">
        <v>253</v>
      </c>
      <c r="L164" t="s">
        <v>243</v>
      </c>
    </row>
    <row r="165" spans="1:12" x14ac:dyDescent="0.3">
      <c r="A165" s="57" t="s">
        <v>428</v>
      </c>
      <c r="B165" s="57" t="s">
        <v>251</v>
      </c>
      <c r="C165" s="57" t="s">
        <v>237</v>
      </c>
      <c r="D165" s="57" t="s">
        <v>238</v>
      </c>
      <c r="E165" s="57" t="s">
        <v>142</v>
      </c>
      <c r="F165">
        <v>7</v>
      </c>
      <c r="G165">
        <v>7000</v>
      </c>
      <c r="H165" s="11">
        <v>45529</v>
      </c>
      <c r="I165" s="57" t="s">
        <v>92</v>
      </c>
      <c r="J165" s="57" t="s">
        <v>147</v>
      </c>
      <c r="K165" s="57" t="s">
        <v>197</v>
      </c>
      <c r="L165" t="s">
        <v>243</v>
      </c>
    </row>
    <row r="166" spans="1:12" x14ac:dyDescent="0.3">
      <c r="A166" s="57" t="s">
        <v>429</v>
      </c>
      <c r="B166" s="57" t="s">
        <v>262</v>
      </c>
      <c r="C166" s="57" t="s">
        <v>263</v>
      </c>
      <c r="D166" s="57" t="s">
        <v>146</v>
      </c>
      <c r="E166" s="57" t="s">
        <v>252</v>
      </c>
      <c r="F166">
        <v>7</v>
      </c>
      <c r="G166">
        <v>5900</v>
      </c>
      <c r="H166" s="11">
        <v>45473</v>
      </c>
      <c r="I166" s="57" t="s">
        <v>266</v>
      </c>
      <c r="J166" s="57" t="s">
        <v>150</v>
      </c>
      <c r="K166" s="57" t="s">
        <v>239</v>
      </c>
      <c r="L166" t="s">
        <v>240</v>
      </c>
    </row>
    <row r="167" spans="1:12" x14ac:dyDescent="0.3">
      <c r="A167" s="57" t="s">
        <v>430</v>
      </c>
      <c r="B167" s="57" t="s">
        <v>195</v>
      </c>
      <c r="C167" s="57" t="s">
        <v>196</v>
      </c>
      <c r="D167" s="57" t="s">
        <v>153</v>
      </c>
      <c r="E167" s="57" t="s">
        <v>260</v>
      </c>
      <c r="F167">
        <v>7</v>
      </c>
      <c r="G167">
        <v>7000</v>
      </c>
      <c r="H167" s="11">
        <v>45590</v>
      </c>
      <c r="I167" s="57" t="s">
        <v>95</v>
      </c>
      <c r="J167" s="57" t="s">
        <v>145</v>
      </c>
      <c r="K167" s="57" t="s">
        <v>197</v>
      </c>
      <c r="L167" t="s">
        <v>243</v>
      </c>
    </row>
    <row r="168" spans="1:12" x14ac:dyDescent="0.3">
      <c r="A168" s="57" t="s">
        <v>431</v>
      </c>
      <c r="B168" s="57" t="s">
        <v>251</v>
      </c>
      <c r="C168" s="57" t="s">
        <v>237</v>
      </c>
      <c r="D168" s="57" t="s">
        <v>141</v>
      </c>
      <c r="E168" s="57" t="s">
        <v>142</v>
      </c>
      <c r="F168">
        <v>0</v>
      </c>
      <c r="G168">
        <v>7000</v>
      </c>
      <c r="H168" s="11">
        <v>45314</v>
      </c>
      <c r="I168" s="57" t="s">
        <v>291</v>
      </c>
      <c r="J168" s="57" t="s">
        <v>145</v>
      </c>
      <c r="K168" s="57" t="s">
        <v>239</v>
      </c>
      <c r="L168" t="s">
        <v>243</v>
      </c>
    </row>
    <row r="169" spans="1:12" x14ac:dyDescent="0.3">
      <c r="A169" s="57" t="s">
        <v>432</v>
      </c>
      <c r="B169" s="57" t="s">
        <v>251</v>
      </c>
      <c r="C169" s="57" t="s">
        <v>237</v>
      </c>
      <c r="D169" s="57" t="s">
        <v>153</v>
      </c>
      <c r="E169" s="57" t="s">
        <v>256</v>
      </c>
      <c r="F169">
        <v>10</v>
      </c>
      <c r="G169">
        <v>984</v>
      </c>
      <c r="H169" s="11">
        <v>45158</v>
      </c>
      <c r="I169" s="57" t="s">
        <v>242</v>
      </c>
      <c r="J169" s="57" t="s">
        <v>145</v>
      </c>
      <c r="K169" s="57" t="s">
        <v>238</v>
      </c>
      <c r="L169" t="s">
        <v>302</v>
      </c>
    </row>
    <row r="170" spans="1:12" x14ac:dyDescent="0.3">
      <c r="A170" s="57" t="s">
        <v>433</v>
      </c>
      <c r="B170" s="57" t="s">
        <v>245</v>
      </c>
      <c r="C170" s="57" t="s">
        <v>237</v>
      </c>
      <c r="D170" s="57" t="s">
        <v>148</v>
      </c>
      <c r="E170" s="57" t="s">
        <v>256</v>
      </c>
      <c r="F170">
        <v>0</v>
      </c>
      <c r="G170">
        <v>4424</v>
      </c>
      <c r="H170" s="11">
        <v>44994</v>
      </c>
      <c r="I170" s="57" t="s">
        <v>95</v>
      </c>
      <c r="J170" s="57" t="s">
        <v>150</v>
      </c>
      <c r="K170" s="57" t="s">
        <v>239</v>
      </c>
      <c r="L170" t="s">
        <v>240</v>
      </c>
    </row>
    <row r="171" spans="1:12" x14ac:dyDescent="0.3">
      <c r="A171" s="57" t="s">
        <v>434</v>
      </c>
      <c r="B171" s="57" t="s">
        <v>262</v>
      </c>
      <c r="C171" s="57" t="s">
        <v>263</v>
      </c>
      <c r="D171" s="57" t="s">
        <v>238</v>
      </c>
      <c r="E171" s="57" t="s">
        <v>256</v>
      </c>
      <c r="F171">
        <v>0</v>
      </c>
      <c r="G171">
        <v>5900</v>
      </c>
      <c r="H171" s="11">
        <v>45145</v>
      </c>
      <c r="I171" s="57" t="s">
        <v>242</v>
      </c>
      <c r="J171" s="57" t="s">
        <v>145</v>
      </c>
      <c r="K171" s="57" t="s">
        <v>238</v>
      </c>
      <c r="L171" t="s">
        <v>240</v>
      </c>
    </row>
    <row r="172" spans="1:12" x14ac:dyDescent="0.3">
      <c r="A172" s="57" t="s">
        <v>435</v>
      </c>
      <c r="B172" s="57" t="s">
        <v>262</v>
      </c>
      <c r="C172" s="57" t="s">
        <v>263</v>
      </c>
      <c r="D172" s="57" t="s">
        <v>151</v>
      </c>
      <c r="E172" s="57" t="s">
        <v>260</v>
      </c>
      <c r="F172">
        <v>4</v>
      </c>
      <c r="G172">
        <v>7000</v>
      </c>
      <c r="H172" s="11">
        <v>45300</v>
      </c>
      <c r="I172" s="57" t="s">
        <v>100</v>
      </c>
      <c r="J172" s="57" t="s">
        <v>248</v>
      </c>
      <c r="K172" s="57" t="s">
        <v>249</v>
      </c>
      <c r="L172" t="s">
        <v>243</v>
      </c>
    </row>
    <row r="173" spans="1:12" x14ac:dyDescent="0.3">
      <c r="A173" s="57" t="s">
        <v>436</v>
      </c>
      <c r="B173" s="57" t="s">
        <v>255</v>
      </c>
      <c r="C173" s="57" t="s">
        <v>237</v>
      </c>
      <c r="D173" s="57" t="s">
        <v>144</v>
      </c>
      <c r="E173" s="57" t="s">
        <v>142</v>
      </c>
      <c r="F173">
        <v>0</v>
      </c>
      <c r="G173">
        <v>5900</v>
      </c>
      <c r="H173" s="11">
        <v>45083</v>
      </c>
      <c r="I173" s="57" t="s">
        <v>257</v>
      </c>
      <c r="J173" s="57" t="s">
        <v>248</v>
      </c>
      <c r="K173" s="57" t="s">
        <v>238</v>
      </c>
      <c r="L173" t="s">
        <v>240</v>
      </c>
    </row>
    <row r="174" spans="1:12" x14ac:dyDescent="0.3">
      <c r="A174" s="57" t="s">
        <v>437</v>
      </c>
      <c r="B174" s="57" t="s">
        <v>195</v>
      </c>
      <c r="C174" s="57" t="s">
        <v>196</v>
      </c>
      <c r="D174" s="57" t="s">
        <v>238</v>
      </c>
      <c r="E174" s="57" t="s">
        <v>256</v>
      </c>
      <c r="F174">
        <v>5</v>
      </c>
      <c r="G174">
        <v>7000</v>
      </c>
      <c r="H174" s="11">
        <v>45093</v>
      </c>
      <c r="I174" s="57" t="s">
        <v>257</v>
      </c>
      <c r="J174" s="57" t="s">
        <v>150</v>
      </c>
      <c r="K174" s="57" t="s">
        <v>239</v>
      </c>
      <c r="L174" t="s">
        <v>243</v>
      </c>
    </row>
    <row r="175" spans="1:12" x14ac:dyDescent="0.3">
      <c r="A175" s="57" t="s">
        <v>438</v>
      </c>
      <c r="B175" s="57" t="s">
        <v>273</v>
      </c>
      <c r="C175" s="57" t="s">
        <v>237</v>
      </c>
      <c r="D175" s="57" t="s">
        <v>146</v>
      </c>
      <c r="E175" s="57" t="s">
        <v>260</v>
      </c>
      <c r="F175">
        <v>7</v>
      </c>
      <c r="G175">
        <v>4699</v>
      </c>
      <c r="H175" s="11">
        <v>45552</v>
      </c>
      <c r="I175" s="57" t="s">
        <v>257</v>
      </c>
      <c r="J175" s="57" t="s">
        <v>145</v>
      </c>
      <c r="K175" s="57" t="s">
        <v>249</v>
      </c>
      <c r="L175" t="s">
        <v>240</v>
      </c>
    </row>
    <row r="176" spans="1:12" x14ac:dyDescent="0.3">
      <c r="A176" s="57" t="s">
        <v>439</v>
      </c>
      <c r="B176" s="57" t="s">
        <v>268</v>
      </c>
      <c r="C176" s="57" t="s">
        <v>269</v>
      </c>
      <c r="D176" s="57" t="s">
        <v>238</v>
      </c>
      <c r="E176" s="57" t="s">
        <v>260</v>
      </c>
      <c r="F176">
        <v>8</v>
      </c>
      <c r="G176">
        <v>2237</v>
      </c>
      <c r="H176" s="11">
        <v>45392</v>
      </c>
      <c r="I176" s="57" t="s">
        <v>92</v>
      </c>
      <c r="J176" s="57" t="s">
        <v>147</v>
      </c>
      <c r="K176" s="57" t="s">
        <v>239</v>
      </c>
      <c r="L176" t="s">
        <v>258</v>
      </c>
    </row>
    <row r="177" spans="1:12" x14ac:dyDescent="0.3">
      <c r="A177" s="57" t="s">
        <v>440</v>
      </c>
      <c r="B177" s="57" t="s">
        <v>245</v>
      </c>
      <c r="C177" s="57" t="s">
        <v>237</v>
      </c>
      <c r="D177" s="57" t="s">
        <v>153</v>
      </c>
      <c r="E177" s="57" t="s">
        <v>142</v>
      </c>
      <c r="F177">
        <v>0</v>
      </c>
      <c r="G177">
        <v>3456</v>
      </c>
      <c r="H177" s="11">
        <v>45568</v>
      </c>
      <c r="I177" s="57" t="s">
        <v>92</v>
      </c>
      <c r="J177" s="57" t="s">
        <v>145</v>
      </c>
      <c r="K177" s="57" t="s">
        <v>239</v>
      </c>
      <c r="L177" t="s">
        <v>258</v>
      </c>
    </row>
    <row r="178" spans="1:12" x14ac:dyDescent="0.3">
      <c r="A178" s="57" t="s">
        <v>441</v>
      </c>
      <c r="B178" s="57" t="s">
        <v>273</v>
      </c>
      <c r="C178" s="57" t="s">
        <v>237</v>
      </c>
      <c r="D178" s="57" t="s">
        <v>151</v>
      </c>
      <c r="E178" s="57" t="s">
        <v>252</v>
      </c>
      <c r="F178">
        <v>10</v>
      </c>
      <c r="G178">
        <v>4143</v>
      </c>
      <c r="H178" s="11">
        <v>45333</v>
      </c>
      <c r="I178" s="57" t="s">
        <v>89</v>
      </c>
      <c r="J178" s="57" t="s">
        <v>145</v>
      </c>
      <c r="K178" s="57" t="s">
        <v>264</v>
      </c>
      <c r="L178" t="s">
        <v>240</v>
      </c>
    </row>
    <row r="179" spans="1:12" x14ac:dyDescent="0.3">
      <c r="A179" s="57" t="s">
        <v>442</v>
      </c>
      <c r="B179" s="57" t="s">
        <v>247</v>
      </c>
      <c r="C179" s="57" t="s">
        <v>237</v>
      </c>
      <c r="D179" s="57" t="s">
        <v>144</v>
      </c>
      <c r="E179" s="57" t="s">
        <v>149</v>
      </c>
      <c r="F179">
        <v>10</v>
      </c>
      <c r="G179">
        <v>5900</v>
      </c>
      <c r="H179" s="11">
        <v>45386</v>
      </c>
      <c r="I179" s="57" t="s">
        <v>257</v>
      </c>
      <c r="J179" s="57" t="s">
        <v>248</v>
      </c>
      <c r="K179" s="57" t="s">
        <v>239</v>
      </c>
      <c r="L179" t="s">
        <v>240</v>
      </c>
    </row>
    <row r="180" spans="1:12" x14ac:dyDescent="0.3">
      <c r="A180" s="57" t="s">
        <v>443</v>
      </c>
      <c r="B180" s="57" t="s">
        <v>262</v>
      </c>
      <c r="C180" s="57" t="s">
        <v>263</v>
      </c>
      <c r="D180" s="57" t="s">
        <v>146</v>
      </c>
      <c r="E180" s="57" t="s">
        <v>142</v>
      </c>
      <c r="F180">
        <v>0</v>
      </c>
      <c r="G180">
        <v>7000</v>
      </c>
      <c r="H180" s="11">
        <v>45205</v>
      </c>
      <c r="I180" s="57" t="s">
        <v>291</v>
      </c>
      <c r="J180" s="57" t="s">
        <v>147</v>
      </c>
      <c r="K180" s="57" t="s">
        <v>239</v>
      </c>
      <c r="L180" t="s">
        <v>243</v>
      </c>
    </row>
    <row r="181" spans="1:12" x14ac:dyDescent="0.3">
      <c r="A181" s="57" t="s">
        <v>444</v>
      </c>
      <c r="B181" s="57" t="s">
        <v>275</v>
      </c>
      <c r="C181" s="57" t="s">
        <v>276</v>
      </c>
      <c r="D181" s="57" t="s">
        <v>151</v>
      </c>
      <c r="E181" s="57" t="s">
        <v>252</v>
      </c>
      <c r="F181">
        <v>8</v>
      </c>
      <c r="G181">
        <v>7000</v>
      </c>
      <c r="H181" s="11">
        <v>45148</v>
      </c>
      <c r="I181" s="57" t="s">
        <v>242</v>
      </c>
      <c r="J181" s="57" t="s">
        <v>143</v>
      </c>
      <c r="K181" s="57" t="s">
        <v>197</v>
      </c>
      <c r="L181" t="s">
        <v>243</v>
      </c>
    </row>
    <row r="182" spans="1:12" x14ac:dyDescent="0.3">
      <c r="A182" s="57" t="s">
        <v>445</v>
      </c>
      <c r="B182" s="57" t="s">
        <v>268</v>
      </c>
      <c r="C182" s="57" t="s">
        <v>269</v>
      </c>
      <c r="D182" s="57" t="s">
        <v>238</v>
      </c>
      <c r="E182" s="57" t="s">
        <v>142</v>
      </c>
      <c r="F182">
        <v>5</v>
      </c>
      <c r="G182">
        <v>4373</v>
      </c>
      <c r="H182" s="11">
        <v>45194</v>
      </c>
      <c r="I182" s="57" t="s">
        <v>92</v>
      </c>
      <c r="J182" s="57" t="s">
        <v>145</v>
      </c>
      <c r="K182" s="57" t="s">
        <v>253</v>
      </c>
      <c r="L182" t="s">
        <v>240</v>
      </c>
    </row>
    <row r="183" spans="1:12" x14ac:dyDescent="0.3">
      <c r="A183" s="57" t="s">
        <v>446</v>
      </c>
      <c r="B183" s="57" t="s">
        <v>236</v>
      </c>
      <c r="C183" s="57" t="s">
        <v>237</v>
      </c>
      <c r="D183" s="57" t="s">
        <v>148</v>
      </c>
      <c r="E183" s="57" t="s">
        <v>149</v>
      </c>
      <c r="F183">
        <v>7</v>
      </c>
      <c r="G183">
        <v>5900</v>
      </c>
      <c r="H183" s="11">
        <v>45274</v>
      </c>
      <c r="I183" s="57" t="s">
        <v>92</v>
      </c>
      <c r="J183" s="57" t="s">
        <v>147</v>
      </c>
      <c r="K183" s="57" t="s">
        <v>239</v>
      </c>
      <c r="L183" t="s">
        <v>240</v>
      </c>
    </row>
    <row r="184" spans="1:12" x14ac:dyDescent="0.3">
      <c r="A184" s="57" t="s">
        <v>447</v>
      </c>
      <c r="B184" s="57" t="s">
        <v>247</v>
      </c>
      <c r="C184" s="57" t="s">
        <v>237</v>
      </c>
      <c r="D184" s="57" t="s">
        <v>141</v>
      </c>
      <c r="E184" s="57" t="s">
        <v>149</v>
      </c>
      <c r="F184">
        <v>0</v>
      </c>
      <c r="G184">
        <v>5900</v>
      </c>
      <c r="H184" s="11">
        <v>45154</v>
      </c>
      <c r="I184" s="57" t="s">
        <v>89</v>
      </c>
      <c r="J184" s="57" t="s">
        <v>145</v>
      </c>
      <c r="K184" s="57" t="s">
        <v>249</v>
      </c>
      <c r="L184" t="s">
        <v>240</v>
      </c>
    </row>
    <row r="185" spans="1:12" x14ac:dyDescent="0.3">
      <c r="A185" s="57" t="s">
        <v>448</v>
      </c>
      <c r="B185" s="57" t="s">
        <v>245</v>
      </c>
      <c r="C185" s="57" t="s">
        <v>237</v>
      </c>
      <c r="D185" s="57" t="s">
        <v>152</v>
      </c>
      <c r="E185" s="57" t="s">
        <v>252</v>
      </c>
      <c r="F185">
        <v>7</v>
      </c>
      <c r="G185">
        <v>5900</v>
      </c>
      <c r="H185" s="11">
        <v>44976</v>
      </c>
      <c r="I185" s="57" t="s">
        <v>89</v>
      </c>
      <c r="J185" s="57" t="s">
        <v>150</v>
      </c>
      <c r="K185" s="57" t="s">
        <v>197</v>
      </c>
      <c r="L185" t="s">
        <v>240</v>
      </c>
    </row>
    <row r="186" spans="1:12" x14ac:dyDescent="0.3">
      <c r="A186" s="57" t="s">
        <v>449</v>
      </c>
      <c r="B186" s="57" t="s">
        <v>268</v>
      </c>
      <c r="C186" s="57" t="s">
        <v>269</v>
      </c>
      <c r="D186" s="57" t="s">
        <v>238</v>
      </c>
      <c r="E186" s="57" t="s">
        <v>260</v>
      </c>
      <c r="F186">
        <v>9</v>
      </c>
      <c r="G186">
        <v>7000</v>
      </c>
      <c r="H186" s="11">
        <v>45146</v>
      </c>
      <c r="I186" s="57" t="s">
        <v>242</v>
      </c>
      <c r="J186" s="57" t="s">
        <v>150</v>
      </c>
      <c r="K186" s="57" t="s">
        <v>249</v>
      </c>
      <c r="L186" t="s">
        <v>243</v>
      </c>
    </row>
    <row r="187" spans="1:12" x14ac:dyDescent="0.3">
      <c r="A187" s="57" t="s">
        <v>450</v>
      </c>
      <c r="B187" s="57" t="s">
        <v>251</v>
      </c>
      <c r="C187" s="57" t="s">
        <v>237</v>
      </c>
      <c r="D187" s="57" t="s">
        <v>153</v>
      </c>
      <c r="E187" s="57" t="s">
        <v>142</v>
      </c>
      <c r="F187">
        <v>10</v>
      </c>
      <c r="G187">
        <v>7000</v>
      </c>
      <c r="H187" s="11">
        <v>45503</v>
      </c>
      <c r="I187" s="57" t="s">
        <v>291</v>
      </c>
      <c r="J187" s="57" t="s">
        <v>150</v>
      </c>
      <c r="K187" s="57" t="s">
        <v>197</v>
      </c>
      <c r="L187" t="s">
        <v>243</v>
      </c>
    </row>
    <row r="188" spans="1:12" x14ac:dyDescent="0.3">
      <c r="A188" s="57" t="s">
        <v>451</v>
      </c>
      <c r="B188" s="57" t="s">
        <v>255</v>
      </c>
      <c r="C188" s="57" t="s">
        <v>237</v>
      </c>
      <c r="D188" s="57" t="s">
        <v>238</v>
      </c>
      <c r="E188" s="57" t="s">
        <v>149</v>
      </c>
      <c r="F188">
        <v>7</v>
      </c>
      <c r="G188">
        <v>7000</v>
      </c>
      <c r="H188" s="11">
        <v>45548</v>
      </c>
      <c r="I188" s="57" t="s">
        <v>95</v>
      </c>
      <c r="J188" s="57" t="s">
        <v>145</v>
      </c>
      <c r="K188" s="57" t="s">
        <v>239</v>
      </c>
      <c r="L188" t="s">
        <v>243</v>
      </c>
    </row>
    <row r="189" spans="1:12" x14ac:dyDescent="0.3">
      <c r="A189" s="57" t="s">
        <v>452</v>
      </c>
      <c r="B189" s="57" t="s">
        <v>251</v>
      </c>
      <c r="C189" s="57" t="s">
        <v>237</v>
      </c>
      <c r="D189" s="57" t="s">
        <v>148</v>
      </c>
      <c r="E189" s="57" t="s">
        <v>149</v>
      </c>
      <c r="F189">
        <v>0</v>
      </c>
      <c r="G189">
        <v>7000</v>
      </c>
      <c r="H189" s="11">
        <v>45568</v>
      </c>
      <c r="I189" s="57" t="s">
        <v>257</v>
      </c>
      <c r="J189" s="57" t="s">
        <v>145</v>
      </c>
      <c r="K189" s="57" t="s">
        <v>264</v>
      </c>
      <c r="L189" t="s">
        <v>243</v>
      </c>
    </row>
    <row r="190" spans="1:12" x14ac:dyDescent="0.3">
      <c r="A190" s="57" t="s">
        <v>453</v>
      </c>
      <c r="B190" s="57" t="s">
        <v>195</v>
      </c>
      <c r="C190" s="57" t="s">
        <v>196</v>
      </c>
      <c r="D190" s="57" t="s">
        <v>153</v>
      </c>
      <c r="E190" s="57" t="s">
        <v>252</v>
      </c>
      <c r="F190">
        <v>5</v>
      </c>
      <c r="G190">
        <v>4664</v>
      </c>
      <c r="H190" s="11">
        <v>45563</v>
      </c>
      <c r="I190" s="57" t="s">
        <v>92</v>
      </c>
      <c r="J190" s="57" t="s">
        <v>248</v>
      </c>
      <c r="K190" s="57" t="s">
        <v>197</v>
      </c>
      <c r="L190" t="s">
        <v>240</v>
      </c>
    </row>
    <row r="191" spans="1:12" x14ac:dyDescent="0.3">
      <c r="A191" s="57" t="s">
        <v>454</v>
      </c>
      <c r="B191" s="57" t="s">
        <v>247</v>
      </c>
      <c r="C191" s="57" t="s">
        <v>237</v>
      </c>
      <c r="D191" s="57" t="s">
        <v>144</v>
      </c>
      <c r="E191" s="57" t="s">
        <v>252</v>
      </c>
      <c r="F191">
        <v>10</v>
      </c>
      <c r="G191">
        <v>7000</v>
      </c>
      <c r="H191" s="11">
        <v>45446</v>
      </c>
      <c r="I191" s="57" t="s">
        <v>95</v>
      </c>
      <c r="J191" s="57" t="s">
        <v>248</v>
      </c>
      <c r="K191" s="57" t="s">
        <v>197</v>
      </c>
      <c r="L191" t="s">
        <v>243</v>
      </c>
    </row>
    <row r="192" spans="1:12" x14ac:dyDescent="0.3">
      <c r="A192" s="57" t="s">
        <v>455</v>
      </c>
      <c r="B192" s="57" t="s">
        <v>251</v>
      </c>
      <c r="C192" s="57" t="s">
        <v>237</v>
      </c>
      <c r="D192" s="57" t="s">
        <v>238</v>
      </c>
      <c r="E192" s="57" t="s">
        <v>142</v>
      </c>
      <c r="F192">
        <v>7</v>
      </c>
      <c r="G192">
        <v>355</v>
      </c>
      <c r="H192" s="11">
        <v>45156</v>
      </c>
      <c r="I192" s="57" t="s">
        <v>100</v>
      </c>
      <c r="J192" s="57" t="s">
        <v>143</v>
      </c>
      <c r="K192" s="57" t="s">
        <v>249</v>
      </c>
      <c r="L192" t="s">
        <v>302</v>
      </c>
    </row>
    <row r="193" spans="1:12" x14ac:dyDescent="0.3">
      <c r="A193" s="57" t="s">
        <v>456</v>
      </c>
      <c r="B193" s="57" t="s">
        <v>247</v>
      </c>
      <c r="C193" s="57" t="s">
        <v>237</v>
      </c>
      <c r="D193" s="57" t="s">
        <v>141</v>
      </c>
      <c r="E193" s="57" t="s">
        <v>149</v>
      </c>
      <c r="F193">
        <v>5</v>
      </c>
      <c r="G193">
        <v>3347</v>
      </c>
      <c r="H193" s="11">
        <v>45132</v>
      </c>
      <c r="I193" s="57" t="s">
        <v>100</v>
      </c>
      <c r="J193" s="57" t="s">
        <v>150</v>
      </c>
      <c r="K193" s="57" t="s">
        <v>238</v>
      </c>
      <c r="L193" t="s">
        <v>258</v>
      </c>
    </row>
    <row r="194" spans="1:12" x14ac:dyDescent="0.3">
      <c r="A194" s="57" t="s">
        <v>457</v>
      </c>
      <c r="B194" s="57" t="s">
        <v>273</v>
      </c>
      <c r="C194" s="57" t="s">
        <v>237</v>
      </c>
      <c r="D194" s="57" t="s">
        <v>238</v>
      </c>
      <c r="E194" s="57" t="s">
        <v>149</v>
      </c>
      <c r="F194">
        <v>0</v>
      </c>
      <c r="G194">
        <v>5900</v>
      </c>
      <c r="H194" s="11">
        <v>45431</v>
      </c>
      <c r="I194" s="57" t="s">
        <v>242</v>
      </c>
      <c r="J194" s="57" t="s">
        <v>145</v>
      </c>
      <c r="K194" s="57" t="s">
        <v>239</v>
      </c>
      <c r="L194" t="s">
        <v>240</v>
      </c>
    </row>
    <row r="195" spans="1:12" x14ac:dyDescent="0.3">
      <c r="A195" s="57" t="s">
        <v>458</v>
      </c>
      <c r="B195" s="57" t="s">
        <v>245</v>
      </c>
      <c r="C195" s="57" t="s">
        <v>237</v>
      </c>
      <c r="D195" s="57" t="s">
        <v>144</v>
      </c>
      <c r="E195" s="57" t="s">
        <v>142</v>
      </c>
      <c r="F195">
        <v>5</v>
      </c>
      <c r="G195">
        <v>667</v>
      </c>
      <c r="H195" s="11">
        <v>44959</v>
      </c>
      <c r="I195" s="57" t="s">
        <v>92</v>
      </c>
      <c r="J195" s="57" t="s">
        <v>145</v>
      </c>
      <c r="K195" s="57" t="s">
        <v>238</v>
      </c>
      <c r="L195" t="s">
        <v>302</v>
      </c>
    </row>
    <row r="196" spans="1:12" x14ac:dyDescent="0.3">
      <c r="A196" s="57" t="s">
        <v>459</v>
      </c>
      <c r="B196" s="57" t="s">
        <v>275</v>
      </c>
      <c r="C196" s="57" t="s">
        <v>276</v>
      </c>
      <c r="D196" s="57" t="s">
        <v>238</v>
      </c>
      <c r="E196" s="57" t="s">
        <v>142</v>
      </c>
      <c r="F196">
        <v>2</v>
      </c>
      <c r="G196">
        <v>7000</v>
      </c>
      <c r="H196" s="11">
        <v>45453</v>
      </c>
      <c r="I196" s="57" t="s">
        <v>242</v>
      </c>
      <c r="J196" s="57" t="s">
        <v>143</v>
      </c>
      <c r="K196" s="57" t="s">
        <v>239</v>
      </c>
      <c r="L196" t="s">
        <v>243</v>
      </c>
    </row>
    <row r="197" spans="1:12" x14ac:dyDescent="0.3">
      <c r="A197" s="57" t="s">
        <v>460</v>
      </c>
      <c r="B197" s="57" t="s">
        <v>195</v>
      </c>
      <c r="C197" s="57" t="s">
        <v>196</v>
      </c>
      <c r="D197" s="57" t="s">
        <v>238</v>
      </c>
      <c r="E197" s="57" t="s">
        <v>260</v>
      </c>
      <c r="F197">
        <v>0</v>
      </c>
      <c r="G197">
        <v>7000</v>
      </c>
      <c r="H197" s="11">
        <v>45261</v>
      </c>
      <c r="I197" s="57" t="s">
        <v>257</v>
      </c>
      <c r="J197" s="57" t="s">
        <v>147</v>
      </c>
      <c r="K197" s="57" t="s">
        <v>253</v>
      </c>
      <c r="L197" t="s">
        <v>243</v>
      </c>
    </row>
    <row r="198" spans="1:12" x14ac:dyDescent="0.3">
      <c r="A198" s="57" t="s">
        <v>461</v>
      </c>
      <c r="B198" s="57" t="s">
        <v>273</v>
      </c>
      <c r="C198" s="57" t="s">
        <v>237</v>
      </c>
      <c r="D198" s="57" t="s">
        <v>151</v>
      </c>
      <c r="E198" s="57" t="s">
        <v>260</v>
      </c>
      <c r="F198">
        <v>5</v>
      </c>
      <c r="G198">
        <v>5900</v>
      </c>
      <c r="H198" s="11">
        <v>45512</v>
      </c>
      <c r="I198" s="57" t="s">
        <v>95</v>
      </c>
      <c r="J198" s="57" t="s">
        <v>147</v>
      </c>
      <c r="K198" s="57" t="s">
        <v>264</v>
      </c>
      <c r="L198" t="s">
        <v>240</v>
      </c>
    </row>
    <row r="199" spans="1:12" x14ac:dyDescent="0.3">
      <c r="A199" s="57" t="s">
        <v>462</v>
      </c>
      <c r="B199" s="57" t="s">
        <v>273</v>
      </c>
      <c r="C199" s="57" t="s">
        <v>237</v>
      </c>
      <c r="D199" s="57" t="s">
        <v>148</v>
      </c>
      <c r="E199" s="57" t="s">
        <v>256</v>
      </c>
      <c r="F199">
        <v>10</v>
      </c>
      <c r="G199">
        <v>3182</v>
      </c>
      <c r="H199" s="11">
        <v>45439</v>
      </c>
      <c r="I199" s="57" t="s">
        <v>291</v>
      </c>
      <c r="J199" s="57" t="s">
        <v>143</v>
      </c>
      <c r="K199" s="57" t="s">
        <v>239</v>
      </c>
      <c r="L199" t="s">
        <v>258</v>
      </c>
    </row>
    <row r="200" spans="1:12" x14ac:dyDescent="0.3">
      <c r="A200" s="57" t="s">
        <v>463</v>
      </c>
      <c r="B200" s="57" t="s">
        <v>255</v>
      </c>
      <c r="C200" s="57" t="s">
        <v>237</v>
      </c>
      <c r="D200" s="57" t="s">
        <v>144</v>
      </c>
      <c r="E200" s="57" t="s">
        <v>252</v>
      </c>
      <c r="F200">
        <v>7</v>
      </c>
      <c r="G200">
        <v>5900</v>
      </c>
      <c r="H200" s="11">
        <v>45239</v>
      </c>
      <c r="I200" s="57" t="s">
        <v>257</v>
      </c>
      <c r="J200" s="57" t="s">
        <v>145</v>
      </c>
      <c r="K200" s="57" t="s">
        <v>197</v>
      </c>
      <c r="L200" t="s">
        <v>240</v>
      </c>
    </row>
    <row r="201" spans="1:12" x14ac:dyDescent="0.3">
      <c r="A201" s="57" t="s">
        <v>464</v>
      </c>
      <c r="B201" s="57" t="s">
        <v>275</v>
      </c>
      <c r="C201" s="57" t="s">
        <v>276</v>
      </c>
      <c r="D201" s="57" t="s">
        <v>141</v>
      </c>
      <c r="E201" s="57" t="s">
        <v>260</v>
      </c>
      <c r="F201">
        <v>0</v>
      </c>
      <c r="G201">
        <v>5900</v>
      </c>
      <c r="H201" s="11">
        <v>45042</v>
      </c>
      <c r="I201" s="57" t="s">
        <v>242</v>
      </c>
      <c r="J201" s="57" t="s">
        <v>143</v>
      </c>
      <c r="K201" s="57" t="s">
        <v>264</v>
      </c>
      <c r="L201" t="s">
        <v>240</v>
      </c>
    </row>
    <row r="202" spans="1:12" x14ac:dyDescent="0.3">
      <c r="A202" s="57" t="s">
        <v>465</v>
      </c>
      <c r="B202" s="57" t="s">
        <v>273</v>
      </c>
      <c r="C202" s="57" t="s">
        <v>237</v>
      </c>
      <c r="D202" s="57" t="s">
        <v>152</v>
      </c>
      <c r="E202" s="57" t="s">
        <v>260</v>
      </c>
      <c r="F202">
        <v>10</v>
      </c>
      <c r="G202">
        <v>7000</v>
      </c>
      <c r="H202" s="11">
        <v>45365</v>
      </c>
      <c r="I202" s="57" t="s">
        <v>257</v>
      </c>
      <c r="J202" s="57" t="s">
        <v>147</v>
      </c>
      <c r="K202" s="57" t="s">
        <v>238</v>
      </c>
      <c r="L202" t="s">
        <v>243</v>
      </c>
    </row>
    <row r="203" spans="1:12" x14ac:dyDescent="0.3">
      <c r="A203" s="57" t="s">
        <v>466</v>
      </c>
      <c r="B203" s="57" t="s">
        <v>255</v>
      </c>
      <c r="C203" s="57" t="s">
        <v>237</v>
      </c>
      <c r="D203" s="57" t="s">
        <v>238</v>
      </c>
      <c r="E203" s="57" t="s">
        <v>142</v>
      </c>
      <c r="F203">
        <v>10</v>
      </c>
      <c r="G203">
        <v>5900</v>
      </c>
      <c r="H203" s="11">
        <v>45027</v>
      </c>
      <c r="I203" s="57" t="s">
        <v>257</v>
      </c>
      <c r="J203" s="57" t="s">
        <v>147</v>
      </c>
      <c r="K203" s="57" t="s">
        <v>238</v>
      </c>
      <c r="L203" t="s">
        <v>240</v>
      </c>
    </row>
    <row r="204" spans="1:12" x14ac:dyDescent="0.3">
      <c r="A204" s="57" t="s">
        <v>467</v>
      </c>
      <c r="B204" s="57" t="s">
        <v>245</v>
      </c>
      <c r="C204" s="57" t="s">
        <v>237</v>
      </c>
      <c r="D204" s="57" t="s">
        <v>144</v>
      </c>
      <c r="E204" s="57" t="s">
        <v>260</v>
      </c>
      <c r="F204">
        <v>5</v>
      </c>
      <c r="G204">
        <v>7000</v>
      </c>
      <c r="H204" s="11">
        <v>44964</v>
      </c>
      <c r="I204" s="57" t="s">
        <v>257</v>
      </c>
      <c r="J204" s="57" t="s">
        <v>248</v>
      </c>
      <c r="K204" s="57" t="s">
        <v>197</v>
      </c>
      <c r="L204" t="s">
        <v>243</v>
      </c>
    </row>
    <row r="205" spans="1:12" x14ac:dyDescent="0.3">
      <c r="A205" s="57" t="s">
        <v>468</v>
      </c>
      <c r="B205" s="57" t="s">
        <v>236</v>
      </c>
      <c r="C205" s="57" t="s">
        <v>237</v>
      </c>
      <c r="D205" s="57" t="s">
        <v>238</v>
      </c>
      <c r="E205" s="57" t="s">
        <v>142</v>
      </c>
      <c r="F205">
        <v>6</v>
      </c>
      <c r="G205">
        <v>7000</v>
      </c>
      <c r="H205" s="11">
        <v>45440</v>
      </c>
      <c r="I205" s="57" t="s">
        <v>291</v>
      </c>
      <c r="J205" s="57" t="s">
        <v>150</v>
      </c>
      <c r="K205" s="57" t="s">
        <v>238</v>
      </c>
      <c r="L205" t="s">
        <v>243</v>
      </c>
    </row>
    <row r="206" spans="1:12" x14ac:dyDescent="0.3">
      <c r="A206" s="57" t="s">
        <v>469</v>
      </c>
      <c r="B206" s="57" t="s">
        <v>245</v>
      </c>
      <c r="C206" s="57" t="s">
        <v>237</v>
      </c>
      <c r="D206" s="57" t="s">
        <v>238</v>
      </c>
      <c r="E206" s="57" t="s">
        <v>142</v>
      </c>
      <c r="F206">
        <v>5</v>
      </c>
      <c r="G206">
        <v>7000</v>
      </c>
      <c r="H206" s="11">
        <v>45035</v>
      </c>
      <c r="I206" s="57" t="s">
        <v>257</v>
      </c>
      <c r="J206" s="57" t="s">
        <v>150</v>
      </c>
      <c r="K206" s="57" t="s">
        <v>238</v>
      </c>
      <c r="L206" t="s">
        <v>243</v>
      </c>
    </row>
    <row r="207" spans="1:12" x14ac:dyDescent="0.3">
      <c r="A207" s="57" t="s">
        <v>470</v>
      </c>
      <c r="B207" s="57" t="s">
        <v>275</v>
      </c>
      <c r="C207" s="57" t="s">
        <v>276</v>
      </c>
      <c r="D207" s="57" t="s">
        <v>152</v>
      </c>
      <c r="E207" s="57" t="s">
        <v>260</v>
      </c>
      <c r="F207">
        <v>0</v>
      </c>
      <c r="G207">
        <v>7000</v>
      </c>
      <c r="H207" s="11">
        <v>45423</v>
      </c>
      <c r="I207" s="57" t="s">
        <v>100</v>
      </c>
      <c r="J207" s="57" t="s">
        <v>143</v>
      </c>
      <c r="K207" s="57" t="s">
        <v>253</v>
      </c>
      <c r="L207" t="s">
        <v>243</v>
      </c>
    </row>
    <row r="208" spans="1:12" x14ac:dyDescent="0.3">
      <c r="A208" s="57" t="s">
        <v>471</v>
      </c>
      <c r="B208" s="57" t="s">
        <v>236</v>
      </c>
      <c r="C208" s="57" t="s">
        <v>237</v>
      </c>
      <c r="D208" s="57" t="s">
        <v>141</v>
      </c>
      <c r="E208" s="57" t="s">
        <v>256</v>
      </c>
      <c r="F208">
        <v>7</v>
      </c>
      <c r="G208">
        <v>7000</v>
      </c>
      <c r="H208" s="11">
        <v>45541</v>
      </c>
      <c r="I208" s="57" t="s">
        <v>266</v>
      </c>
      <c r="J208" s="57" t="s">
        <v>143</v>
      </c>
      <c r="K208" s="57" t="s">
        <v>238</v>
      </c>
      <c r="L208" t="s">
        <v>243</v>
      </c>
    </row>
    <row r="209" spans="1:12" x14ac:dyDescent="0.3">
      <c r="A209" s="57" t="s">
        <v>472</v>
      </c>
      <c r="B209" s="57" t="s">
        <v>251</v>
      </c>
      <c r="C209" s="57" t="s">
        <v>237</v>
      </c>
      <c r="D209" s="57" t="s">
        <v>146</v>
      </c>
      <c r="E209" s="57" t="s">
        <v>149</v>
      </c>
      <c r="F209">
        <v>0</v>
      </c>
      <c r="G209">
        <v>2197</v>
      </c>
      <c r="H209" s="11">
        <v>45473</v>
      </c>
      <c r="I209" s="57" t="s">
        <v>89</v>
      </c>
      <c r="J209" s="57" t="s">
        <v>248</v>
      </c>
      <c r="K209" s="57" t="s">
        <v>253</v>
      </c>
      <c r="L209" t="s">
        <v>258</v>
      </c>
    </row>
    <row r="210" spans="1:12" x14ac:dyDescent="0.3">
      <c r="A210" s="57" t="s">
        <v>473</v>
      </c>
      <c r="B210" s="57" t="s">
        <v>195</v>
      </c>
      <c r="C210" s="57" t="s">
        <v>196</v>
      </c>
      <c r="D210" s="57" t="s">
        <v>144</v>
      </c>
      <c r="E210" s="57" t="s">
        <v>256</v>
      </c>
      <c r="F210">
        <v>0</v>
      </c>
      <c r="G210">
        <v>7000</v>
      </c>
      <c r="H210" s="11">
        <v>44960</v>
      </c>
      <c r="I210" s="57" t="s">
        <v>257</v>
      </c>
      <c r="J210" s="57" t="s">
        <v>147</v>
      </c>
      <c r="K210" s="57" t="s">
        <v>239</v>
      </c>
      <c r="L210" t="s">
        <v>243</v>
      </c>
    </row>
    <row r="211" spans="1:12" x14ac:dyDescent="0.3">
      <c r="A211" s="57" t="s">
        <v>474</v>
      </c>
      <c r="B211" s="57" t="s">
        <v>255</v>
      </c>
      <c r="C211" s="57" t="s">
        <v>237</v>
      </c>
      <c r="D211" s="57" t="s">
        <v>141</v>
      </c>
      <c r="E211" s="57" t="s">
        <v>149</v>
      </c>
      <c r="F211">
        <v>5</v>
      </c>
      <c r="G211">
        <v>250</v>
      </c>
      <c r="H211" s="11">
        <v>45258</v>
      </c>
      <c r="I211" s="57" t="s">
        <v>95</v>
      </c>
      <c r="J211" s="57" t="s">
        <v>143</v>
      </c>
      <c r="K211" s="57" t="s">
        <v>264</v>
      </c>
      <c r="L211" t="s">
        <v>302</v>
      </c>
    </row>
    <row r="212" spans="1:12" x14ac:dyDescent="0.3">
      <c r="A212" s="57" t="s">
        <v>475</v>
      </c>
      <c r="B212" s="57" t="s">
        <v>245</v>
      </c>
      <c r="C212" s="57" t="s">
        <v>237</v>
      </c>
      <c r="D212" s="57" t="s">
        <v>238</v>
      </c>
      <c r="E212" s="57" t="s">
        <v>256</v>
      </c>
      <c r="F212">
        <v>10</v>
      </c>
      <c r="G212">
        <v>7000</v>
      </c>
      <c r="H212" s="11">
        <v>45456</v>
      </c>
      <c r="I212" s="57" t="s">
        <v>257</v>
      </c>
      <c r="J212" s="57" t="s">
        <v>145</v>
      </c>
      <c r="K212" s="57" t="s">
        <v>197</v>
      </c>
      <c r="L212" t="s">
        <v>243</v>
      </c>
    </row>
    <row r="213" spans="1:12" x14ac:dyDescent="0.3">
      <c r="A213" s="57" t="s">
        <v>476</v>
      </c>
      <c r="B213" s="57" t="s">
        <v>275</v>
      </c>
      <c r="C213" s="57" t="s">
        <v>276</v>
      </c>
      <c r="D213" s="57" t="s">
        <v>144</v>
      </c>
      <c r="E213" s="57" t="s">
        <v>252</v>
      </c>
      <c r="F213">
        <v>5</v>
      </c>
      <c r="G213">
        <v>457</v>
      </c>
      <c r="H213" s="11">
        <v>45393</v>
      </c>
      <c r="I213" s="57" t="s">
        <v>266</v>
      </c>
      <c r="J213" s="57" t="s">
        <v>143</v>
      </c>
      <c r="K213" s="57" t="s">
        <v>239</v>
      </c>
      <c r="L213" t="s">
        <v>302</v>
      </c>
    </row>
    <row r="214" spans="1:12" x14ac:dyDescent="0.3">
      <c r="A214" s="57" t="s">
        <v>477</v>
      </c>
      <c r="B214" s="57" t="s">
        <v>262</v>
      </c>
      <c r="C214" s="57" t="s">
        <v>263</v>
      </c>
      <c r="D214" s="57" t="s">
        <v>148</v>
      </c>
      <c r="E214" s="57" t="s">
        <v>252</v>
      </c>
      <c r="F214">
        <v>9</v>
      </c>
      <c r="G214">
        <v>2386</v>
      </c>
      <c r="H214" s="11">
        <v>45434</v>
      </c>
      <c r="I214" s="57" t="s">
        <v>257</v>
      </c>
      <c r="J214" s="57" t="s">
        <v>145</v>
      </c>
      <c r="K214" s="57" t="s">
        <v>238</v>
      </c>
      <c r="L214" t="s">
        <v>258</v>
      </c>
    </row>
    <row r="215" spans="1:12" x14ac:dyDescent="0.3">
      <c r="A215" s="57" t="s">
        <v>478</v>
      </c>
      <c r="B215" s="57" t="s">
        <v>247</v>
      </c>
      <c r="C215" s="57" t="s">
        <v>237</v>
      </c>
      <c r="D215" s="57" t="s">
        <v>146</v>
      </c>
      <c r="E215" s="57" t="s">
        <v>260</v>
      </c>
      <c r="F215">
        <v>10</v>
      </c>
      <c r="G215">
        <v>7000</v>
      </c>
      <c r="H215" s="11">
        <v>45111</v>
      </c>
      <c r="I215" s="57" t="s">
        <v>95</v>
      </c>
      <c r="J215" s="57" t="s">
        <v>145</v>
      </c>
      <c r="K215" s="57" t="s">
        <v>238</v>
      </c>
      <c r="L215" t="s">
        <v>243</v>
      </c>
    </row>
    <row r="216" spans="1:12" x14ac:dyDescent="0.3">
      <c r="A216" s="57" t="s">
        <v>479</v>
      </c>
      <c r="B216" s="57" t="s">
        <v>236</v>
      </c>
      <c r="C216" s="57" t="s">
        <v>237</v>
      </c>
      <c r="D216" s="57" t="s">
        <v>153</v>
      </c>
      <c r="E216" s="57" t="s">
        <v>149</v>
      </c>
      <c r="F216">
        <v>9</v>
      </c>
      <c r="G216">
        <v>5900</v>
      </c>
      <c r="H216" s="11">
        <v>45267</v>
      </c>
      <c r="I216" s="57" t="s">
        <v>95</v>
      </c>
      <c r="J216" s="57" t="s">
        <v>150</v>
      </c>
      <c r="K216" s="57" t="s">
        <v>238</v>
      </c>
      <c r="L216" t="s">
        <v>240</v>
      </c>
    </row>
    <row r="217" spans="1:12" x14ac:dyDescent="0.3">
      <c r="A217" s="57" t="s">
        <v>480</v>
      </c>
      <c r="B217" s="57" t="s">
        <v>273</v>
      </c>
      <c r="C217" s="57" t="s">
        <v>237</v>
      </c>
      <c r="D217" s="57" t="s">
        <v>141</v>
      </c>
      <c r="E217" s="57" t="s">
        <v>260</v>
      </c>
      <c r="F217">
        <v>10</v>
      </c>
      <c r="G217">
        <v>7000</v>
      </c>
      <c r="H217" s="11">
        <v>45185</v>
      </c>
      <c r="I217" s="57" t="s">
        <v>242</v>
      </c>
      <c r="J217" s="57" t="s">
        <v>143</v>
      </c>
      <c r="K217" s="57" t="s">
        <v>238</v>
      </c>
      <c r="L217" t="s">
        <v>243</v>
      </c>
    </row>
    <row r="218" spans="1:12" x14ac:dyDescent="0.3">
      <c r="A218" s="57" t="s">
        <v>481</v>
      </c>
      <c r="B218" s="57" t="s">
        <v>262</v>
      </c>
      <c r="C218" s="57" t="s">
        <v>263</v>
      </c>
      <c r="D218" s="57" t="s">
        <v>141</v>
      </c>
      <c r="E218" s="57" t="s">
        <v>149</v>
      </c>
      <c r="F218">
        <v>10</v>
      </c>
      <c r="G218">
        <v>7000</v>
      </c>
      <c r="H218" s="11">
        <v>45314</v>
      </c>
      <c r="I218" s="57" t="s">
        <v>257</v>
      </c>
      <c r="J218" s="57" t="s">
        <v>147</v>
      </c>
      <c r="K218" s="57" t="s">
        <v>249</v>
      </c>
      <c r="L218" t="s">
        <v>243</v>
      </c>
    </row>
    <row r="219" spans="1:12" x14ac:dyDescent="0.3">
      <c r="A219" s="57" t="s">
        <v>482</v>
      </c>
      <c r="B219" s="57" t="s">
        <v>268</v>
      </c>
      <c r="C219" s="57" t="s">
        <v>269</v>
      </c>
      <c r="D219" s="57" t="s">
        <v>238</v>
      </c>
      <c r="E219" s="57" t="s">
        <v>142</v>
      </c>
      <c r="F219">
        <v>5</v>
      </c>
      <c r="G219">
        <v>7000</v>
      </c>
      <c r="H219" s="11">
        <v>45100</v>
      </c>
      <c r="I219" s="57" t="s">
        <v>89</v>
      </c>
      <c r="J219" s="57" t="s">
        <v>150</v>
      </c>
      <c r="K219" s="57" t="s">
        <v>249</v>
      </c>
      <c r="L219" t="s">
        <v>243</v>
      </c>
    </row>
    <row r="220" spans="1:12" x14ac:dyDescent="0.3">
      <c r="A220" s="57" t="s">
        <v>483</v>
      </c>
      <c r="B220" s="57" t="s">
        <v>273</v>
      </c>
      <c r="C220" s="57" t="s">
        <v>237</v>
      </c>
      <c r="D220" s="57" t="s">
        <v>238</v>
      </c>
      <c r="E220" s="57" t="s">
        <v>142</v>
      </c>
      <c r="F220">
        <v>6</v>
      </c>
      <c r="G220">
        <v>7000</v>
      </c>
      <c r="H220" s="11">
        <v>45566</v>
      </c>
      <c r="I220" s="57" t="s">
        <v>291</v>
      </c>
      <c r="J220" s="57" t="s">
        <v>147</v>
      </c>
      <c r="K220" s="57" t="s">
        <v>238</v>
      </c>
      <c r="L220" t="s">
        <v>243</v>
      </c>
    </row>
    <row r="221" spans="1:12" x14ac:dyDescent="0.3">
      <c r="A221" s="57" t="s">
        <v>484</v>
      </c>
      <c r="B221" s="57" t="s">
        <v>255</v>
      </c>
      <c r="C221" s="57" t="s">
        <v>237</v>
      </c>
      <c r="D221" s="57" t="s">
        <v>152</v>
      </c>
      <c r="E221" s="57" t="s">
        <v>252</v>
      </c>
      <c r="F221">
        <v>10</v>
      </c>
      <c r="G221">
        <v>4558</v>
      </c>
      <c r="H221" s="11">
        <v>45551</v>
      </c>
      <c r="I221" s="57" t="s">
        <v>95</v>
      </c>
      <c r="J221" s="57" t="s">
        <v>147</v>
      </c>
      <c r="K221" s="57" t="s">
        <v>238</v>
      </c>
      <c r="L221" t="s">
        <v>240</v>
      </c>
    </row>
    <row r="222" spans="1:12" x14ac:dyDescent="0.3">
      <c r="A222" s="57" t="s">
        <v>485</v>
      </c>
      <c r="B222" s="57" t="s">
        <v>268</v>
      </c>
      <c r="C222" s="57" t="s">
        <v>269</v>
      </c>
      <c r="D222" s="57" t="s">
        <v>238</v>
      </c>
      <c r="E222" s="57" t="s">
        <v>256</v>
      </c>
      <c r="F222">
        <v>10</v>
      </c>
      <c r="G222">
        <v>5900</v>
      </c>
      <c r="H222" s="11">
        <v>45154</v>
      </c>
      <c r="I222" s="57" t="s">
        <v>257</v>
      </c>
      <c r="J222" s="57" t="s">
        <v>143</v>
      </c>
      <c r="K222" s="57" t="s">
        <v>238</v>
      </c>
      <c r="L222" t="s">
        <v>240</v>
      </c>
    </row>
    <row r="223" spans="1:12" x14ac:dyDescent="0.3">
      <c r="A223" s="57" t="s">
        <v>486</v>
      </c>
      <c r="B223" s="57" t="s">
        <v>273</v>
      </c>
      <c r="C223" s="57" t="s">
        <v>237</v>
      </c>
      <c r="D223" s="57" t="s">
        <v>238</v>
      </c>
      <c r="E223" s="57" t="s">
        <v>142</v>
      </c>
      <c r="F223">
        <v>7</v>
      </c>
      <c r="G223">
        <v>7000</v>
      </c>
      <c r="H223" s="11">
        <v>45499</v>
      </c>
      <c r="I223" s="57" t="s">
        <v>100</v>
      </c>
      <c r="J223" s="57" t="s">
        <v>143</v>
      </c>
      <c r="K223" s="57" t="s">
        <v>197</v>
      </c>
      <c r="L223" t="s">
        <v>243</v>
      </c>
    </row>
    <row r="224" spans="1:12" x14ac:dyDescent="0.3">
      <c r="A224" s="57" t="s">
        <v>487</v>
      </c>
      <c r="B224" s="57" t="s">
        <v>245</v>
      </c>
      <c r="C224" s="57" t="s">
        <v>237</v>
      </c>
      <c r="D224" s="57" t="s">
        <v>238</v>
      </c>
      <c r="E224" s="57" t="s">
        <v>260</v>
      </c>
      <c r="F224">
        <v>1</v>
      </c>
      <c r="G224">
        <v>4968</v>
      </c>
      <c r="H224" s="11">
        <v>45093</v>
      </c>
      <c r="I224" s="57" t="s">
        <v>95</v>
      </c>
      <c r="J224" s="57" t="s">
        <v>143</v>
      </c>
      <c r="K224" s="57" t="s">
        <v>239</v>
      </c>
      <c r="L224" t="s">
        <v>240</v>
      </c>
    </row>
    <row r="225" spans="1:12" x14ac:dyDescent="0.3">
      <c r="A225" s="57" t="s">
        <v>488</v>
      </c>
      <c r="B225" s="57" t="s">
        <v>273</v>
      </c>
      <c r="C225" s="57" t="s">
        <v>237</v>
      </c>
      <c r="D225" s="57" t="s">
        <v>144</v>
      </c>
      <c r="E225" s="57" t="s">
        <v>260</v>
      </c>
      <c r="F225">
        <v>5</v>
      </c>
      <c r="G225">
        <v>7000</v>
      </c>
      <c r="H225" s="11">
        <v>45301</v>
      </c>
      <c r="I225" s="57" t="s">
        <v>89</v>
      </c>
      <c r="J225" s="57" t="s">
        <v>147</v>
      </c>
      <c r="K225" s="57" t="s">
        <v>238</v>
      </c>
      <c r="L225" t="s">
        <v>243</v>
      </c>
    </row>
    <row r="226" spans="1:12" x14ac:dyDescent="0.3">
      <c r="A226" s="57" t="s">
        <v>489</v>
      </c>
      <c r="B226" s="57" t="s">
        <v>262</v>
      </c>
      <c r="C226" s="57" t="s">
        <v>263</v>
      </c>
      <c r="D226" s="57" t="s">
        <v>151</v>
      </c>
      <c r="E226" s="57" t="s">
        <v>260</v>
      </c>
      <c r="F226">
        <v>10</v>
      </c>
      <c r="G226">
        <v>5900</v>
      </c>
      <c r="H226" s="11">
        <v>45448</v>
      </c>
      <c r="I226" s="57" t="s">
        <v>100</v>
      </c>
      <c r="J226" s="57" t="s">
        <v>147</v>
      </c>
      <c r="K226" s="57" t="s">
        <v>238</v>
      </c>
      <c r="L226" t="s">
        <v>240</v>
      </c>
    </row>
    <row r="227" spans="1:12" x14ac:dyDescent="0.3">
      <c r="A227" s="57" t="s">
        <v>490</v>
      </c>
      <c r="B227" s="57" t="s">
        <v>251</v>
      </c>
      <c r="C227" s="57" t="s">
        <v>237</v>
      </c>
      <c r="D227" s="57" t="s">
        <v>153</v>
      </c>
      <c r="E227" s="57" t="s">
        <v>149</v>
      </c>
      <c r="F227">
        <v>5</v>
      </c>
      <c r="G227">
        <v>7000</v>
      </c>
      <c r="H227" s="11">
        <v>45003</v>
      </c>
      <c r="I227" s="57" t="s">
        <v>257</v>
      </c>
      <c r="J227" s="57" t="s">
        <v>143</v>
      </c>
      <c r="K227" s="57" t="s">
        <v>239</v>
      </c>
      <c r="L227" t="s">
        <v>243</v>
      </c>
    </row>
    <row r="228" spans="1:12" x14ac:dyDescent="0.3">
      <c r="A228" s="57" t="s">
        <v>491</v>
      </c>
      <c r="B228" s="57" t="s">
        <v>245</v>
      </c>
      <c r="C228" s="57" t="s">
        <v>237</v>
      </c>
      <c r="D228" s="57" t="s">
        <v>238</v>
      </c>
      <c r="E228" s="57" t="s">
        <v>252</v>
      </c>
      <c r="F228">
        <v>5</v>
      </c>
      <c r="G228">
        <v>5900</v>
      </c>
      <c r="H228" s="11">
        <v>44938</v>
      </c>
      <c r="I228" s="57" t="s">
        <v>291</v>
      </c>
      <c r="J228" s="57" t="s">
        <v>147</v>
      </c>
      <c r="K228" s="57" t="s">
        <v>239</v>
      </c>
      <c r="L228" t="s">
        <v>240</v>
      </c>
    </row>
    <row r="229" spans="1:12" x14ac:dyDescent="0.3">
      <c r="A229" s="57" t="s">
        <v>492</v>
      </c>
      <c r="B229" s="57" t="s">
        <v>262</v>
      </c>
      <c r="C229" s="57" t="s">
        <v>263</v>
      </c>
      <c r="D229" s="57" t="s">
        <v>144</v>
      </c>
      <c r="E229" s="57" t="s">
        <v>260</v>
      </c>
      <c r="F229">
        <v>5</v>
      </c>
      <c r="G229">
        <v>988</v>
      </c>
      <c r="H229" s="11">
        <v>45046</v>
      </c>
      <c r="I229" s="57" t="s">
        <v>95</v>
      </c>
      <c r="J229" s="57" t="s">
        <v>248</v>
      </c>
      <c r="K229" s="57" t="s">
        <v>264</v>
      </c>
      <c r="L229" t="s">
        <v>302</v>
      </c>
    </row>
    <row r="230" spans="1:12" x14ac:dyDescent="0.3">
      <c r="A230" s="57" t="s">
        <v>493</v>
      </c>
      <c r="B230" s="57" t="s">
        <v>251</v>
      </c>
      <c r="C230" s="57" t="s">
        <v>237</v>
      </c>
      <c r="D230" s="57" t="s">
        <v>238</v>
      </c>
      <c r="E230" s="57" t="s">
        <v>256</v>
      </c>
      <c r="F230">
        <v>5</v>
      </c>
      <c r="G230">
        <v>971</v>
      </c>
      <c r="H230" s="11">
        <v>45079</v>
      </c>
      <c r="I230" s="57" t="s">
        <v>92</v>
      </c>
      <c r="J230" s="57" t="s">
        <v>143</v>
      </c>
      <c r="K230" s="57" t="s">
        <v>238</v>
      </c>
      <c r="L230" t="s">
        <v>302</v>
      </c>
    </row>
    <row r="231" spans="1:12" x14ac:dyDescent="0.3">
      <c r="A231" s="57" t="s">
        <v>494</v>
      </c>
      <c r="B231" s="57" t="s">
        <v>251</v>
      </c>
      <c r="C231" s="57" t="s">
        <v>237</v>
      </c>
      <c r="D231" s="57" t="s">
        <v>141</v>
      </c>
      <c r="E231" s="57" t="s">
        <v>142</v>
      </c>
      <c r="F231">
        <v>5</v>
      </c>
      <c r="G231">
        <v>3802</v>
      </c>
      <c r="H231" s="11">
        <v>44969</v>
      </c>
      <c r="I231" s="57" t="s">
        <v>95</v>
      </c>
      <c r="J231" s="57" t="s">
        <v>143</v>
      </c>
      <c r="K231" s="57" t="s">
        <v>238</v>
      </c>
      <c r="L231" t="s">
        <v>258</v>
      </c>
    </row>
    <row r="232" spans="1:12" x14ac:dyDescent="0.3">
      <c r="A232" s="57" t="s">
        <v>495</v>
      </c>
      <c r="B232" s="57" t="s">
        <v>255</v>
      </c>
      <c r="C232" s="57" t="s">
        <v>237</v>
      </c>
      <c r="D232" s="57" t="s">
        <v>141</v>
      </c>
      <c r="E232" s="57" t="s">
        <v>256</v>
      </c>
      <c r="F232">
        <v>10</v>
      </c>
      <c r="G232">
        <v>7000</v>
      </c>
      <c r="H232" s="11">
        <v>45593</v>
      </c>
      <c r="I232" s="57" t="s">
        <v>257</v>
      </c>
      <c r="J232" s="57" t="s">
        <v>150</v>
      </c>
      <c r="K232" s="57" t="s">
        <v>197</v>
      </c>
      <c r="L232" t="s">
        <v>243</v>
      </c>
    </row>
    <row r="233" spans="1:12" x14ac:dyDescent="0.3">
      <c r="A233" s="57" t="s">
        <v>496</v>
      </c>
      <c r="B233" s="57" t="s">
        <v>255</v>
      </c>
      <c r="C233" s="57" t="s">
        <v>237</v>
      </c>
      <c r="D233" s="57" t="s">
        <v>238</v>
      </c>
      <c r="E233" s="57" t="s">
        <v>149</v>
      </c>
      <c r="F233">
        <v>0</v>
      </c>
      <c r="G233">
        <v>7000</v>
      </c>
      <c r="H233" s="11">
        <v>44997</v>
      </c>
      <c r="I233" s="57" t="s">
        <v>257</v>
      </c>
      <c r="J233" s="57" t="s">
        <v>143</v>
      </c>
      <c r="K233" s="57" t="s">
        <v>249</v>
      </c>
      <c r="L233" t="s">
        <v>243</v>
      </c>
    </row>
    <row r="234" spans="1:12" x14ac:dyDescent="0.3">
      <c r="A234" s="57" t="s">
        <v>497</v>
      </c>
      <c r="B234" s="57" t="s">
        <v>247</v>
      </c>
      <c r="C234" s="57" t="s">
        <v>237</v>
      </c>
      <c r="D234" s="57" t="s">
        <v>141</v>
      </c>
      <c r="E234" s="57" t="s">
        <v>256</v>
      </c>
      <c r="F234">
        <v>5</v>
      </c>
      <c r="G234">
        <v>7000</v>
      </c>
      <c r="H234" s="11">
        <v>45552</v>
      </c>
      <c r="I234" s="57" t="s">
        <v>291</v>
      </c>
      <c r="J234" s="57" t="s">
        <v>248</v>
      </c>
      <c r="K234" s="57" t="s">
        <v>264</v>
      </c>
      <c r="L234" t="s">
        <v>243</v>
      </c>
    </row>
    <row r="235" spans="1:12" x14ac:dyDescent="0.3">
      <c r="A235" s="57" t="s">
        <v>498</v>
      </c>
      <c r="B235" s="57" t="s">
        <v>245</v>
      </c>
      <c r="C235" s="57" t="s">
        <v>237</v>
      </c>
      <c r="D235" s="57" t="s">
        <v>146</v>
      </c>
      <c r="E235" s="57" t="s">
        <v>260</v>
      </c>
      <c r="F235">
        <v>10</v>
      </c>
      <c r="G235">
        <v>7000</v>
      </c>
      <c r="H235" s="11">
        <v>45148</v>
      </c>
      <c r="I235" s="57" t="s">
        <v>242</v>
      </c>
      <c r="J235" s="57" t="s">
        <v>145</v>
      </c>
      <c r="K235" s="57" t="s">
        <v>253</v>
      </c>
      <c r="L235" t="s">
        <v>243</v>
      </c>
    </row>
    <row r="236" spans="1:12" x14ac:dyDescent="0.3">
      <c r="A236" s="57" t="s">
        <v>499</v>
      </c>
      <c r="B236" s="57" t="s">
        <v>262</v>
      </c>
      <c r="C236" s="57" t="s">
        <v>263</v>
      </c>
      <c r="D236" s="57" t="s">
        <v>148</v>
      </c>
      <c r="E236" s="57" t="s">
        <v>256</v>
      </c>
      <c r="F236">
        <v>9</v>
      </c>
      <c r="G236">
        <v>7000</v>
      </c>
      <c r="H236" s="11">
        <v>45514</v>
      </c>
      <c r="I236" s="57" t="s">
        <v>257</v>
      </c>
      <c r="J236" s="57" t="s">
        <v>150</v>
      </c>
      <c r="K236" s="57" t="s">
        <v>238</v>
      </c>
      <c r="L236" t="s">
        <v>243</v>
      </c>
    </row>
    <row r="237" spans="1:12" x14ac:dyDescent="0.3">
      <c r="A237" s="57" t="s">
        <v>500</v>
      </c>
      <c r="B237" s="57" t="s">
        <v>262</v>
      </c>
      <c r="C237" s="57" t="s">
        <v>263</v>
      </c>
      <c r="D237" s="57" t="s">
        <v>146</v>
      </c>
      <c r="E237" s="57" t="s">
        <v>149</v>
      </c>
      <c r="F237">
        <v>5</v>
      </c>
      <c r="G237">
        <v>2346</v>
      </c>
      <c r="H237" s="11">
        <v>45151</v>
      </c>
      <c r="I237" s="57" t="s">
        <v>95</v>
      </c>
      <c r="J237" s="57" t="s">
        <v>143</v>
      </c>
      <c r="K237" s="57" t="s">
        <v>253</v>
      </c>
      <c r="L237" t="s">
        <v>258</v>
      </c>
    </row>
    <row r="238" spans="1:12" x14ac:dyDescent="0.3">
      <c r="A238" s="57" t="s">
        <v>501</v>
      </c>
      <c r="B238" s="57" t="s">
        <v>195</v>
      </c>
      <c r="C238" s="57" t="s">
        <v>196</v>
      </c>
      <c r="D238" s="57" t="s">
        <v>238</v>
      </c>
      <c r="E238" s="57" t="s">
        <v>142</v>
      </c>
      <c r="F238">
        <v>7</v>
      </c>
      <c r="G238">
        <v>7000</v>
      </c>
      <c r="H238" s="11">
        <v>45070</v>
      </c>
      <c r="I238" s="57" t="s">
        <v>92</v>
      </c>
      <c r="J238" s="57" t="s">
        <v>150</v>
      </c>
      <c r="K238" s="57" t="s">
        <v>238</v>
      </c>
      <c r="L238" t="s">
        <v>243</v>
      </c>
    </row>
    <row r="239" spans="1:12" x14ac:dyDescent="0.3">
      <c r="A239" s="57" t="s">
        <v>502</v>
      </c>
      <c r="B239" s="57" t="s">
        <v>262</v>
      </c>
      <c r="C239" s="57" t="s">
        <v>263</v>
      </c>
      <c r="D239" s="57" t="s">
        <v>152</v>
      </c>
      <c r="E239" s="57" t="s">
        <v>149</v>
      </c>
      <c r="F239">
        <v>4</v>
      </c>
      <c r="G239">
        <v>7000</v>
      </c>
      <c r="H239" s="11">
        <v>44968</v>
      </c>
      <c r="I239" s="57" t="s">
        <v>95</v>
      </c>
      <c r="J239" s="57" t="s">
        <v>150</v>
      </c>
      <c r="K239" s="57" t="s">
        <v>197</v>
      </c>
      <c r="L239" t="s">
        <v>243</v>
      </c>
    </row>
    <row r="240" spans="1:12" x14ac:dyDescent="0.3">
      <c r="A240" s="57" t="s">
        <v>503</v>
      </c>
      <c r="B240" s="57" t="s">
        <v>195</v>
      </c>
      <c r="C240" s="57" t="s">
        <v>196</v>
      </c>
      <c r="D240" s="57" t="s">
        <v>238</v>
      </c>
      <c r="E240" s="57" t="s">
        <v>260</v>
      </c>
      <c r="F240">
        <v>0</v>
      </c>
      <c r="G240">
        <v>5900</v>
      </c>
      <c r="H240" s="11">
        <v>45363</v>
      </c>
      <c r="I240" s="57" t="s">
        <v>95</v>
      </c>
      <c r="J240" s="57" t="s">
        <v>147</v>
      </c>
      <c r="K240" s="57" t="s">
        <v>253</v>
      </c>
      <c r="L240" t="s">
        <v>240</v>
      </c>
    </row>
    <row r="241" spans="1:12" x14ac:dyDescent="0.3">
      <c r="A241" s="57" t="s">
        <v>504</v>
      </c>
      <c r="B241" s="57" t="s">
        <v>255</v>
      </c>
      <c r="C241" s="57" t="s">
        <v>237</v>
      </c>
      <c r="D241" s="57" t="s">
        <v>141</v>
      </c>
      <c r="E241" s="57" t="s">
        <v>149</v>
      </c>
      <c r="F241">
        <v>0</v>
      </c>
      <c r="G241">
        <v>7000</v>
      </c>
      <c r="H241" s="11">
        <v>45059</v>
      </c>
      <c r="I241" s="57" t="s">
        <v>291</v>
      </c>
      <c r="J241" s="57" t="s">
        <v>143</v>
      </c>
      <c r="K241" s="57" t="s">
        <v>238</v>
      </c>
      <c r="L241" t="s">
        <v>243</v>
      </c>
    </row>
    <row r="242" spans="1:12" x14ac:dyDescent="0.3">
      <c r="A242" s="57" t="s">
        <v>505</v>
      </c>
      <c r="B242" s="57" t="s">
        <v>245</v>
      </c>
      <c r="C242" s="57" t="s">
        <v>237</v>
      </c>
      <c r="D242" s="57" t="s">
        <v>152</v>
      </c>
      <c r="E242" s="57" t="s">
        <v>142</v>
      </c>
      <c r="F242">
        <v>7</v>
      </c>
      <c r="G242">
        <v>7000</v>
      </c>
      <c r="H242" s="11">
        <v>45477</v>
      </c>
      <c r="I242" s="57" t="s">
        <v>92</v>
      </c>
      <c r="J242" s="57" t="s">
        <v>150</v>
      </c>
      <c r="K242" s="57" t="s">
        <v>239</v>
      </c>
      <c r="L242" t="s">
        <v>243</v>
      </c>
    </row>
    <row r="243" spans="1:12" x14ac:dyDescent="0.3">
      <c r="A243" s="57" t="s">
        <v>506</v>
      </c>
      <c r="B243" s="57" t="s">
        <v>251</v>
      </c>
      <c r="C243" s="57" t="s">
        <v>237</v>
      </c>
      <c r="D243" s="57" t="s">
        <v>144</v>
      </c>
      <c r="E243" s="57" t="s">
        <v>142</v>
      </c>
      <c r="F243">
        <v>4</v>
      </c>
      <c r="G243">
        <v>7000</v>
      </c>
      <c r="H243" s="11">
        <v>45352</v>
      </c>
      <c r="I243" s="57" t="s">
        <v>291</v>
      </c>
      <c r="J243" s="57" t="s">
        <v>150</v>
      </c>
      <c r="K243" s="57" t="s">
        <v>238</v>
      </c>
      <c r="L243" t="s">
        <v>243</v>
      </c>
    </row>
    <row r="244" spans="1:12" x14ac:dyDescent="0.3">
      <c r="A244" s="57" t="s">
        <v>507</v>
      </c>
      <c r="B244" s="57" t="s">
        <v>251</v>
      </c>
      <c r="C244" s="57" t="s">
        <v>237</v>
      </c>
      <c r="D244" s="57" t="s">
        <v>146</v>
      </c>
      <c r="E244" s="57" t="s">
        <v>149</v>
      </c>
      <c r="F244">
        <v>7</v>
      </c>
      <c r="G244">
        <v>7000</v>
      </c>
      <c r="H244" s="11">
        <v>45313</v>
      </c>
      <c r="I244" s="57" t="s">
        <v>92</v>
      </c>
      <c r="J244" s="57" t="s">
        <v>143</v>
      </c>
      <c r="K244" s="57" t="s">
        <v>238</v>
      </c>
      <c r="L244" t="s">
        <v>243</v>
      </c>
    </row>
    <row r="245" spans="1:12" x14ac:dyDescent="0.3">
      <c r="A245" s="57" t="s">
        <v>508</v>
      </c>
      <c r="B245" s="57" t="s">
        <v>273</v>
      </c>
      <c r="C245" s="57" t="s">
        <v>237</v>
      </c>
      <c r="D245" s="57" t="s">
        <v>144</v>
      </c>
      <c r="E245" s="57" t="s">
        <v>256</v>
      </c>
      <c r="F245">
        <v>10</v>
      </c>
      <c r="G245">
        <v>7000</v>
      </c>
      <c r="H245" s="11">
        <v>45540</v>
      </c>
      <c r="I245" s="57" t="s">
        <v>89</v>
      </c>
      <c r="J245" s="57" t="s">
        <v>248</v>
      </c>
      <c r="K245" s="57" t="s">
        <v>253</v>
      </c>
      <c r="L245" t="s">
        <v>243</v>
      </c>
    </row>
    <row r="246" spans="1:12" x14ac:dyDescent="0.3">
      <c r="A246" s="57" t="s">
        <v>509</v>
      </c>
      <c r="B246" s="57" t="s">
        <v>262</v>
      </c>
      <c r="C246" s="57" t="s">
        <v>263</v>
      </c>
      <c r="D246" s="57" t="s">
        <v>238</v>
      </c>
      <c r="E246" s="57" t="s">
        <v>252</v>
      </c>
      <c r="F246">
        <v>5</v>
      </c>
      <c r="G246">
        <v>7000</v>
      </c>
      <c r="H246" s="11">
        <v>45101</v>
      </c>
      <c r="I246" s="57" t="s">
        <v>89</v>
      </c>
      <c r="J246" s="57" t="s">
        <v>143</v>
      </c>
      <c r="K246" s="57" t="s">
        <v>197</v>
      </c>
      <c r="L246" t="s">
        <v>243</v>
      </c>
    </row>
    <row r="247" spans="1:12" x14ac:dyDescent="0.3">
      <c r="A247" s="57" t="s">
        <v>510</v>
      </c>
      <c r="B247" s="57" t="s">
        <v>262</v>
      </c>
      <c r="C247" s="57" t="s">
        <v>263</v>
      </c>
      <c r="D247" s="57" t="s">
        <v>238</v>
      </c>
      <c r="E247" s="57" t="s">
        <v>256</v>
      </c>
      <c r="F247">
        <v>10</v>
      </c>
      <c r="G247">
        <v>7000</v>
      </c>
      <c r="H247" s="11">
        <v>45147</v>
      </c>
      <c r="I247" s="57" t="s">
        <v>92</v>
      </c>
      <c r="J247" s="57" t="s">
        <v>147</v>
      </c>
      <c r="K247" s="57" t="s">
        <v>238</v>
      </c>
      <c r="L247" t="s">
        <v>243</v>
      </c>
    </row>
    <row r="248" spans="1:12" x14ac:dyDescent="0.3">
      <c r="A248" s="57" t="s">
        <v>511</v>
      </c>
      <c r="B248" s="57" t="s">
        <v>245</v>
      </c>
      <c r="C248" s="57" t="s">
        <v>237</v>
      </c>
      <c r="D248" s="57" t="s">
        <v>238</v>
      </c>
      <c r="E248" s="57" t="s">
        <v>149</v>
      </c>
      <c r="F248">
        <v>10</v>
      </c>
      <c r="G248">
        <v>5900</v>
      </c>
      <c r="H248" s="11">
        <v>45422</v>
      </c>
      <c r="I248" s="57" t="s">
        <v>100</v>
      </c>
      <c r="J248" s="57" t="s">
        <v>143</v>
      </c>
      <c r="K248" s="57" t="s">
        <v>197</v>
      </c>
      <c r="L248" t="s">
        <v>240</v>
      </c>
    </row>
    <row r="249" spans="1:12" x14ac:dyDescent="0.3">
      <c r="A249" s="57" t="s">
        <v>512</v>
      </c>
      <c r="B249" s="57" t="s">
        <v>245</v>
      </c>
      <c r="C249" s="57" t="s">
        <v>237</v>
      </c>
      <c r="D249" s="57" t="s">
        <v>151</v>
      </c>
      <c r="E249" s="57" t="s">
        <v>252</v>
      </c>
      <c r="F249">
        <v>0</v>
      </c>
      <c r="G249">
        <v>7000</v>
      </c>
      <c r="H249" s="11">
        <v>45319</v>
      </c>
      <c r="I249" s="57" t="s">
        <v>89</v>
      </c>
      <c r="J249" s="57" t="s">
        <v>145</v>
      </c>
      <c r="K249" s="57" t="s">
        <v>239</v>
      </c>
      <c r="L249" t="s">
        <v>243</v>
      </c>
    </row>
    <row r="250" spans="1:12" x14ac:dyDescent="0.3">
      <c r="A250" s="57" t="s">
        <v>513</v>
      </c>
      <c r="B250" s="57" t="s">
        <v>236</v>
      </c>
      <c r="C250" s="57" t="s">
        <v>237</v>
      </c>
      <c r="D250" s="57" t="s">
        <v>152</v>
      </c>
      <c r="E250" s="57" t="s">
        <v>142</v>
      </c>
      <c r="F250">
        <v>10</v>
      </c>
      <c r="G250">
        <v>7000</v>
      </c>
      <c r="H250" s="11">
        <v>45408</v>
      </c>
      <c r="I250" s="57" t="s">
        <v>266</v>
      </c>
      <c r="J250" s="57" t="s">
        <v>143</v>
      </c>
      <c r="K250" s="57" t="s">
        <v>197</v>
      </c>
      <c r="L250" t="s">
        <v>243</v>
      </c>
    </row>
    <row r="251" spans="1:12" x14ac:dyDescent="0.3">
      <c r="A251" s="57" t="s">
        <v>514</v>
      </c>
      <c r="B251" s="57" t="s">
        <v>251</v>
      </c>
      <c r="C251" s="57" t="s">
        <v>237</v>
      </c>
      <c r="D251" s="57" t="s">
        <v>141</v>
      </c>
      <c r="E251" s="57" t="s">
        <v>260</v>
      </c>
      <c r="F251">
        <v>7</v>
      </c>
      <c r="G251">
        <v>5900</v>
      </c>
      <c r="H251" s="11">
        <v>45381</v>
      </c>
      <c r="I251" s="57" t="s">
        <v>242</v>
      </c>
      <c r="J251" s="57" t="s">
        <v>143</v>
      </c>
      <c r="K251" s="57" t="s">
        <v>264</v>
      </c>
      <c r="L251" t="s">
        <v>240</v>
      </c>
    </row>
    <row r="252" spans="1:12" x14ac:dyDescent="0.3">
      <c r="A252" s="57" t="s">
        <v>515</v>
      </c>
      <c r="B252" s="57" t="s">
        <v>255</v>
      </c>
      <c r="C252" s="57" t="s">
        <v>237</v>
      </c>
      <c r="D252" s="57" t="s">
        <v>144</v>
      </c>
      <c r="E252" s="57" t="s">
        <v>142</v>
      </c>
      <c r="F252">
        <v>0</v>
      </c>
      <c r="G252">
        <v>7000</v>
      </c>
      <c r="H252" s="11">
        <v>45039</v>
      </c>
      <c r="I252" s="57" t="s">
        <v>257</v>
      </c>
      <c r="J252" s="57" t="s">
        <v>147</v>
      </c>
      <c r="K252" s="57" t="s">
        <v>249</v>
      </c>
      <c r="L252" t="s">
        <v>243</v>
      </c>
    </row>
    <row r="253" spans="1:12" x14ac:dyDescent="0.3">
      <c r="A253" s="57" t="s">
        <v>516</v>
      </c>
      <c r="B253" s="57" t="s">
        <v>195</v>
      </c>
      <c r="C253" s="57" t="s">
        <v>196</v>
      </c>
      <c r="D253" s="57" t="s">
        <v>153</v>
      </c>
      <c r="E253" s="57" t="s">
        <v>252</v>
      </c>
      <c r="F253">
        <v>5</v>
      </c>
      <c r="G253">
        <v>7000</v>
      </c>
      <c r="H253" s="11">
        <v>45296</v>
      </c>
      <c r="I253" s="57" t="s">
        <v>242</v>
      </c>
      <c r="J253" s="57" t="s">
        <v>143</v>
      </c>
      <c r="K253" s="57" t="s">
        <v>239</v>
      </c>
      <c r="L253" t="s">
        <v>243</v>
      </c>
    </row>
    <row r="254" spans="1:12" x14ac:dyDescent="0.3">
      <c r="A254" s="57" t="s">
        <v>517</v>
      </c>
      <c r="B254" s="57" t="s">
        <v>268</v>
      </c>
      <c r="C254" s="57" t="s">
        <v>269</v>
      </c>
      <c r="D254" s="57" t="s">
        <v>153</v>
      </c>
      <c r="E254" s="57" t="s">
        <v>260</v>
      </c>
      <c r="F254">
        <v>4</v>
      </c>
      <c r="G254">
        <v>7000</v>
      </c>
      <c r="H254" s="11">
        <v>45325</v>
      </c>
      <c r="I254" s="57" t="s">
        <v>95</v>
      </c>
      <c r="J254" s="57" t="s">
        <v>145</v>
      </c>
      <c r="K254" s="57" t="s">
        <v>239</v>
      </c>
      <c r="L254" t="s">
        <v>243</v>
      </c>
    </row>
    <row r="255" spans="1:12" x14ac:dyDescent="0.3">
      <c r="A255" s="57" t="s">
        <v>518</v>
      </c>
      <c r="B255" s="57" t="s">
        <v>247</v>
      </c>
      <c r="C255" s="57" t="s">
        <v>237</v>
      </c>
      <c r="D255" s="57" t="s">
        <v>144</v>
      </c>
      <c r="E255" s="57" t="s">
        <v>252</v>
      </c>
      <c r="F255">
        <v>7</v>
      </c>
      <c r="G255">
        <v>705</v>
      </c>
      <c r="H255" s="11">
        <v>45078</v>
      </c>
      <c r="I255" s="57" t="s">
        <v>89</v>
      </c>
      <c r="J255" s="57" t="s">
        <v>145</v>
      </c>
      <c r="K255" s="57" t="s">
        <v>239</v>
      </c>
      <c r="L255" t="s">
        <v>302</v>
      </c>
    </row>
    <row r="256" spans="1:12" x14ac:dyDescent="0.3">
      <c r="A256" s="57" t="s">
        <v>519</v>
      </c>
      <c r="B256" s="57" t="s">
        <v>268</v>
      </c>
      <c r="C256" s="57" t="s">
        <v>269</v>
      </c>
      <c r="D256" s="57" t="s">
        <v>151</v>
      </c>
      <c r="E256" s="57" t="s">
        <v>149</v>
      </c>
      <c r="F256">
        <v>8</v>
      </c>
      <c r="G256">
        <v>5900</v>
      </c>
      <c r="H256" s="11">
        <v>44946</v>
      </c>
      <c r="I256" s="57" t="s">
        <v>89</v>
      </c>
      <c r="J256" s="57" t="s">
        <v>145</v>
      </c>
      <c r="K256" s="57" t="s">
        <v>249</v>
      </c>
      <c r="L256" t="s">
        <v>240</v>
      </c>
    </row>
    <row r="257" spans="1:12" x14ac:dyDescent="0.3">
      <c r="A257" s="57" t="s">
        <v>520</v>
      </c>
      <c r="B257" s="57" t="s">
        <v>268</v>
      </c>
      <c r="C257" s="57" t="s">
        <v>269</v>
      </c>
      <c r="D257" s="57" t="s">
        <v>153</v>
      </c>
      <c r="E257" s="57" t="s">
        <v>142</v>
      </c>
      <c r="F257">
        <v>0</v>
      </c>
      <c r="G257">
        <v>7000</v>
      </c>
      <c r="H257" s="11">
        <v>45112</v>
      </c>
      <c r="I257" s="57" t="s">
        <v>291</v>
      </c>
      <c r="J257" s="57" t="s">
        <v>150</v>
      </c>
      <c r="K257" s="57" t="s">
        <v>239</v>
      </c>
      <c r="L257" t="s">
        <v>243</v>
      </c>
    </row>
    <row r="258" spans="1:12" x14ac:dyDescent="0.3">
      <c r="A258" s="57" t="s">
        <v>521</v>
      </c>
      <c r="B258" s="57" t="s">
        <v>236</v>
      </c>
      <c r="C258" s="57" t="s">
        <v>237</v>
      </c>
      <c r="D258" s="57" t="s">
        <v>153</v>
      </c>
      <c r="E258" s="57" t="s">
        <v>142</v>
      </c>
      <c r="F258">
        <v>10</v>
      </c>
      <c r="G258">
        <v>7000</v>
      </c>
      <c r="H258" s="11">
        <v>45592</v>
      </c>
      <c r="I258" s="57" t="s">
        <v>242</v>
      </c>
      <c r="J258" s="57" t="s">
        <v>145</v>
      </c>
      <c r="K258" s="57" t="s">
        <v>239</v>
      </c>
      <c r="L258" t="s">
        <v>243</v>
      </c>
    </row>
    <row r="259" spans="1:12" x14ac:dyDescent="0.3">
      <c r="A259" s="57" t="s">
        <v>522</v>
      </c>
      <c r="B259" s="57" t="s">
        <v>245</v>
      </c>
      <c r="C259" s="57" t="s">
        <v>237</v>
      </c>
      <c r="D259" s="57" t="s">
        <v>238</v>
      </c>
      <c r="E259" s="57" t="s">
        <v>149</v>
      </c>
      <c r="F259">
        <v>5</v>
      </c>
      <c r="G259">
        <v>7000</v>
      </c>
      <c r="H259" s="11">
        <v>45413</v>
      </c>
      <c r="I259" s="57" t="s">
        <v>266</v>
      </c>
      <c r="J259" s="57" t="s">
        <v>248</v>
      </c>
      <c r="K259" s="57" t="s">
        <v>264</v>
      </c>
      <c r="L259" t="s">
        <v>243</v>
      </c>
    </row>
    <row r="260" spans="1:12" x14ac:dyDescent="0.3">
      <c r="A260" s="57" t="s">
        <v>523</v>
      </c>
      <c r="B260" s="57" t="s">
        <v>268</v>
      </c>
      <c r="C260" s="57" t="s">
        <v>269</v>
      </c>
      <c r="D260" s="57" t="s">
        <v>153</v>
      </c>
      <c r="E260" s="57" t="s">
        <v>142</v>
      </c>
      <c r="F260">
        <v>10</v>
      </c>
      <c r="G260">
        <v>7000</v>
      </c>
      <c r="H260" s="11">
        <v>45285</v>
      </c>
      <c r="I260" s="57" t="s">
        <v>100</v>
      </c>
      <c r="J260" s="57" t="s">
        <v>147</v>
      </c>
      <c r="K260" s="57" t="s">
        <v>238</v>
      </c>
      <c r="L260" t="s">
        <v>243</v>
      </c>
    </row>
    <row r="261" spans="1:12" x14ac:dyDescent="0.3">
      <c r="A261" s="57" t="s">
        <v>524</v>
      </c>
      <c r="B261" s="57" t="s">
        <v>195</v>
      </c>
      <c r="C261" s="57" t="s">
        <v>196</v>
      </c>
      <c r="D261" s="57" t="s">
        <v>141</v>
      </c>
      <c r="E261" s="57" t="s">
        <v>142</v>
      </c>
      <c r="F261">
        <v>7</v>
      </c>
      <c r="G261">
        <v>7000</v>
      </c>
      <c r="H261" s="11">
        <v>44998</v>
      </c>
      <c r="I261" s="57" t="s">
        <v>266</v>
      </c>
      <c r="J261" s="57" t="s">
        <v>145</v>
      </c>
      <c r="K261" s="57" t="s">
        <v>197</v>
      </c>
      <c r="L261" t="s">
        <v>243</v>
      </c>
    </row>
    <row r="262" spans="1:12" x14ac:dyDescent="0.3">
      <c r="A262" s="57" t="s">
        <v>525</v>
      </c>
      <c r="B262" s="57" t="s">
        <v>273</v>
      </c>
      <c r="C262" s="57" t="s">
        <v>237</v>
      </c>
      <c r="D262" s="57" t="s">
        <v>153</v>
      </c>
      <c r="E262" s="57" t="s">
        <v>142</v>
      </c>
      <c r="F262">
        <v>10</v>
      </c>
      <c r="G262">
        <v>7000</v>
      </c>
      <c r="H262" s="11">
        <v>45479</v>
      </c>
      <c r="I262" s="57" t="s">
        <v>242</v>
      </c>
      <c r="J262" s="57" t="s">
        <v>147</v>
      </c>
      <c r="K262" s="57" t="s">
        <v>197</v>
      </c>
      <c r="L262" t="s">
        <v>243</v>
      </c>
    </row>
    <row r="263" spans="1:12" x14ac:dyDescent="0.3">
      <c r="A263" s="57" t="s">
        <v>526</v>
      </c>
      <c r="B263" s="57" t="s">
        <v>273</v>
      </c>
      <c r="C263" s="57" t="s">
        <v>237</v>
      </c>
      <c r="D263" s="57" t="s">
        <v>144</v>
      </c>
      <c r="E263" s="57" t="s">
        <v>149</v>
      </c>
      <c r="F263">
        <v>10</v>
      </c>
      <c r="G263">
        <v>2297</v>
      </c>
      <c r="H263" s="11">
        <v>45482</v>
      </c>
      <c r="I263" s="57" t="s">
        <v>291</v>
      </c>
      <c r="J263" s="57" t="s">
        <v>150</v>
      </c>
      <c r="K263" s="57" t="s">
        <v>264</v>
      </c>
      <c r="L263" t="s">
        <v>258</v>
      </c>
    </row>
    <row r="264" spans="1:12" x14ac:dyDescent="0.3">
      <c r="A264" s="57" t="s">
        <v>527</v>
      </c>
      <c r="B264" s="57" t="s">
        <v>268</v>
      </c>
      <c r="C264" s="57" t="s">
        <v>269</v>
      </c>
      <c r="D264" s="57" t="s">
        <v>238</v>
      </c>
      <c r="E264" s="57" t="s">
        <v>252</v>
      </c>
      <c r="F264">
        <v>7</v>
      </c>
      <c r="G264">
        <v>7000</v>
      </c>
      <c r="H264" s="11">
        <v>45355</v>
      </c>
      <c r="I264" s="57" t="s">
        <v>92</v>
      </c>
      <c r="J264" s="57" t="s">
        <v>143</v>
      </c>
      <c r="K264" s="57" t="s">
        <v>238</v>
      </c>
      <c r="L264" t="s">
        <v>243</v>
      </c>
    </row>
    <row r="265" spans="1:12" x14ac:dyDescent="0.3">
      <c r="A265" s="57" t="s">
        <v>528</v>
      </c>
      <c r="B265" s="57" t="s">
        <v>247</v>
      </c>
      <c r="C265" s="57" t="s">
        <v>237</v>
      </c>
      <c r="D265" s="57" t="s">
        <v>151</v>
      </c>
      <c r="E265" s="57" t="s">
        <v>256</v>
      </c>
      <c r="F265">
        <v>5</v>
      </c>
      <c r="G265">
        <v>7000</v>
      </c>
      <c r="H265" s="11">
        <v>45448</v>
      </c>
      <c r="I265" s="57" t="s">
        <v>266</v>
      </c>
      <c r="J265" s="57" t="s">
        <v>143</v>
      </c>
      <c r="K265" s="57" t="s">
        <v>249</v>
      </c>
      <c r="L265" t="s">
        <v>243</v>
      </c>
    </row>
    <row r="266" spans="1:12" x14ac:dyDescent="0.3">
      <c r="A266" s="57" t="s">
        <v>529</v>
      </c>
      <c r="B266" s="57" t="s">
        <v>195</v>
      </c>
      <c r="C266" s="57" t="s">
        <v>196</v>
      </c>
      <c r="D266" s="57" t="s">
        <v>144</v>
      </c>
      <c r="E266" s="57" t="s">
        <v>260</v>
      </c>
      <c r="F266">
        <v>5</v>
      </c>
      <c r="G266">
        <v>3583</v>
      </c>
      <c r="H266" s="11">
        <v>45298</v>
      </c>
      <c r="I266" s="57" t="s">
        <v>92</v>
      </c>
      <c r="J266" s="57" t="s">
        <v>248</v>
      </c>
      <c r="K266" s="57" t="s">
        <v>249</v>
      </c>
      <c r="L266" t="s">
        <v>258</v>
      </c>
    </row>
    <row r="267" spans="1:12" x14ac:dyDescent="0.3">
      <c r="A267" s="57" t="s">
        <v>530</v>
      </c>
      <c r="B267" s="57" t="s">
        <v>273</v>
      </c>
      <c r="C267" s="57" t="s">
        <v>237</v>
      </c>
      <c r="D267" s="57" t="s">
        <v>148</v>
      </c>
      <c r="E267" s="57" t="s">
        <v>149</v>
      </c>
      <c r="F267">
        <v>10</v>
      </c>
      <c r="G267">
        <v>7000</v>
      </c>
      <c r="H267" s="11">
        <v>45302</v>
      </c>
      <c r="I267" s="57" t="s">
        <v>266</v>
      </c>
      <c r="J267" s="57" t="s">
        <v>145</v>
      </c>
      <c r="K267" s="57" t="s">
        <v>197</v>
      </c>
      <c r="L267" t="s">
        <v>243</v>
      </c>
    </row>
    <row r="268" spans="1:12" x14ac:dyDescent="0.3">
      <c r="A268" s="57" t="s">
        <v>531</v>
      </c>
      <c r="B268" s="57" t="s">
        <v>275</v>
      </c>
      <c r="C268" s="57" t="s">
        <v>276</v>
      </c>
      <c r="D268" s="57" t="s">
        <v>238</v>
      </c>
      <c r="E268" s="57" t="s">
        <v>142</v>
      </c>
      <c r="F268">
        <v>5</v>
      </c>
      <c r="G268">
        <v>7000</v>
      </c>
      <c r="H268" s="11">
        <v>45059</v>
      </c>
      <c r="I268" s="57" t="s">
        <v>89</v>
      </c>
      <c r="J268" s="57" t="s">
        <v>248</v>
      </c>
      <c r="K268" s="57" t="s">
        <v>253</v>
      </c>
      <c r="L268" t="s">
        <v>243</v>
      </c>
    </row>
    <row r="269" spans="1:12" x14ac:dyDescent="0.3">
      <c r="A269" s="57" t="s">
        <v>532</v>
      </c>
      <c r="B269" s="57" t="s">
        <v>247</v>
      </c>
      <c r="C269" s="57" t="s">
        <v>237</v>
      </c>
      <c r="D269" s="57" t="s">
        <v>152</v>
      </c>
      <c r="E269" s="57" t="s">
        <v>149</v>
      </c>
      <c r="F269">
        <v>0</v>
      </c>
      <c r="G269">
        <v>5900</v>
      </c>
      <c r="H269" s="11">
        <v>45046</v>
      </c>
      <c r="I269" s="57" t="s">
        <v>257</v>
      </c>
      <c r="J269" s="57" t="s">
        <v>150</v>
      </c>
      <c r="K269" s="57" t="s">
        <v>197</v>
      </c>
      <c r="L269" t="s">
        <v>240</v>
      </c>
    </row>
    <row r="270" spans="1:12" x14ac:dyDescent="0.3">
      <c r="A270" s="57" t="s">
        <v>533</v>
      </c>
      <c r="B270" s="57" t="s">
        <v>195</v>
      </c>
      <c r="C270" s="57" t="s">
        <v>196</v>
      </c>
      <c r="D270" s="57" t="s">
        <v>153</v>
      </c>
      <c r="E270" s="57" t="s">
        <v>252</v>
      </c>
      <c r="F270">
        <v>10</v>
      </c>
      <c r="G270">
        <v>147</v>
      </c>
      <c r="H270" s="11">
        <v>45390</v>
      </c>
      <c r="I270" s="57" t="s">
        <v>100</v>
      </c>
      <c r="J270" s="57" t="s">
        <v>147</v>
      </c>
      <c r="K270" s="57" t="s">
        <v>197</v>
      </c>
      <c r="L270" t="s">
        <v>302</v>
      </c>
    </row>
    <row r="271" spans="1:12" x14ac:dyDescent="0.3">
      <c r="A271" s="57" t="s">
        <v>534</v>
      </c>
      <c r="B271" s="57" t="s">
        <v>245</v>
      </c>
      <c r="C271" s="57" t="s">
        <v>237</v>
      </c>
      <c r="D271" s="57" t="s">
        <v>141</v>
      </c>
      <c r="E271" s="57" t="s">
        <v>149</v>
      </c>
      <c r="F271">
        <v>0</v>
      </c>
      <c r="G271">
        <v>808</v>
      </c>
      <c r="H271" s="11">
        <v>45552</v>
      </c>
      <c r="I271" s="57" t="s">
        <v>266</v>
      </c>
      <c r="J271" s="57" t="s">
        <v>150</v>
      </c>
      <c r="K271" s="57" t="s">
        <v>239</v>
      </c>
      <c r="L271" t="s">
        <v>302</v>
      </c>
    </row>
    <row r="272" spans="1:12" x14ac:dyDescent="0.3">
      <c r="A272" s="57" t="s">
        <v>535</v>
      </c>
      <c r="B272" s="57" t="s">
        <v>236</v>
      </c>
      <c r="C272" s="57" t="s">
        <v>237</v>
      </c>
      <c r="D272" s="57" t="s">
        <v>148</v>
      </c>
      <c r="E272" s="57" t="s">
        <v>252</v>
      </c>
      <c r="F272">
        <v>7</v>
      </c>
      <c r="G272">
        <v>1389</v>
      </c>
      <c r="H272" s="11">
        <v>45256</v>
      </c>
      <c r="I272" s="57" t="s">
        <v>291</v>
      </c>
      <c r="J272" s="57" t="s">
        <v>150</v>
      </c>
      <c r="K272" s="57" t="s">
        <v>253</v>
      </c>
      <c r="L272" t="s">
        <v>258</v>
      </c>
    </row>
    <row r="273" spans="1:12" x14ac:dyDescent="0.3">
      <c r="A273" s="57" t="s">
        <v>536</v>
      </c>
      <c r="B273" s="57" t="s">
        <v>268</v>
      </c>
      <c r="C273" s="57" t="s">
        <v>269</v>
      </c>
      <c r="D273" s="57" t="s">
        <v>152</v>
      </c>
      <c r="E273" s="57" t="s">
        <v>149</v>
      </c>
      <c r="F273">
        <v>5</v>
      </c>
      <c r="G273">
        <v>7000</v>
      </c>
      <c r="H273" s="11">
        <v>45286</v>
      </c>
      <c r="I273" s="57" t="s">
        <v>266</v>
      </c>
      <c r="J273" s="57" t="s">
        <v>145</v>
      </c>
      <c r="K273" s="57" t="s">
        <v>239</v>
      </c>
      <c r="L273" t="s">
        <v>243</v>
      </c>
    </row>
    <row r="274" spans="1:12" x14ac:dyDescent="0.3">
      <c r="A274" s="57" t="s">
        <v>537</v>
      </c>
      <c r="B274" s="57" t="s">
        <v>262</v>
      </c>
      <c r="C274" s="57" t="s">
        <v>263</v>
      </c>
      <c r="D274" s="57" t="s">
        <v>152</v>
      </c>
      <c r="E274" s="57" t="s">
        <v>142</v>
      </c>
      <c r="F274">
        <v>7</v>
      </c>
      <c r="G274">
        <v>2609</v>
      </c>
      <c r="H274" s="11">
        <v>45597</v>
      </c>
      <c r="I274" s="57" t="s">
        <v>95</v>
      </c>
      <c r="J274" s="57" t="s">
        <v>248</v>
      </c>
      <c r="K274" s="57" t="s">
        <v>264</v>
      </c>
      <c r="L274" t="s">
        <v>258</v>
      </c>
    </row>
    <row r="275" spans="1:12" x14ac:dyDescent="0.3">
      <c r="A275" s="57" t="s">
        <v>538</v>
      </c>
      <c r="B275" s="57" t="s">
        <v>251</v>
      </c>
      <c r="C275" s="57" t="s">
        <v>237</v>
      </c>
      <c r="D275" s="57" t="s">
        <v>141</v>
      </c>
      <c r="E275" s="57" t="s">
        <v>256</v>
      </c>
      <c r="F275">
        <v>5</v>
      </c>
      <c r="G275">
        <v>4180</v>
      </c>
      <c r="H275" s="11">
        <v>45413</v>
      </c>
      <c r="I275" s="57" t="s">
        <v>92</v>
      </c>
      <c r="J275" s="57" t="s">
        <v>143</v>
      </c>
      <c r="K275" s="57" t="s">
        <v>238</v>
      </c>
      <c r="L275" t="s">
        <v>240</v>
      </c>
    </row>
    <row r="276" spans="1:12" x14ac:dyDescent="0.3">
      <c r="A276" s="57" t="s">
        <v>539</v>
      </c>
      <c r="B276" s="57" t="s">
        <v>251</v>
      </c>
      <c r="C276" s="57" t="s">
        <v>237</v>
      </c>
      <c r="D276" s="57" t="s">
        <v>153</v>
      </c>
      <c r="E276" s="57" t="s">
        <v>260</v>
      </c>
      <c r="F276">
        <v>5</v>
      </c>
      <c r="G276">
        <v>7000</v>
      </c>
      <c r="H276" s="11">
        <v>45388</v>
      </c>
      <c r="I276" s="57" t="s">
        <v>291</v>
      </c>
      <c r="J276" s="57" t="s">
        <v>150</v>
      </c>
      <c r="K276" s="57" t="s">
        <v>239</v>
      </c>
      <c r="L276" t="s">
        <v>243</v>
      </c>
    </row>
    <row r="277" spans="1:12" x14ac:dyDescent="0.3">
      <c r="A277" s="57" t="s">
        <v>540</v>
      </c>
      <c r="B277" s="57" t="s">
        <v>247</v>
      </c>
      <c r="C277" s="57" t="s">
        <v>237</v>
      </c>
      <c r="D277" s="57" t="s">
        <v>238</v>
      </c>
      <c r="E277" s="57" t="s">
        <v>260</v>
      </c>
      <c r="F277">
        <v>5</v>
      </c>
      <c r="G277">
        <v>5900</v>
      </c>
      <c r="H277" s="11">
        <v>45561</v>
      </c>
      <c r="I277" s="57" t="s">
        <v>257</v>
      </c>
      <c r="J277" s="57" t="s">
        <v>147</v>
      </c>
      <c r="K277" s="57" t="s">
        <v>249</v>
      </c>
      <c r="L277" t="s">
        <v>240</v>
      </c>
    </row>
    <row r="278" spans="1:12" x14ac:dyDescent="0.3">
      <c r="A278" s="57" t="s">
        <v>541</v>
      </c>
      <c r="B278" s="57" t="s">
        <v>195</v>
      </c>
      <c r="C278" s="57" t="s">
        <v>196</v>
      </c>
      <c r="D278" s="57" t="s">
        <v>153</v>
      </c>
      <c r="E278" s="57" t="s">
        <v>252</v>
      </c>
      <c r="F278">
        <v>8</v>
      </c>
      <c r="G278">
        <v>7000</v>
      </c>
      <c r="H278" s="11">
        <v>45420</v>
      </c>
      <c r="I278" s="57" t="s">
        <v>95</v>
      </c>
      <c r="J278" s="57" t="s">
        <v>147</v>
      </c>
      <c r="K278" s="57" t="s">
        <v>264</v>
      </c>
      <c r="L278" t="s">
        <v>243</v>
      </c>
    </row>
    <row r="279" spans="1:12" x14ac:dyDescent="0.3">
      <c r="A279" s="57" t="s">
        <v>542</v>
      </c>
      <c r="B279" s="57" t="s">
        <v>268</v>
      </c>
      <c r="C279" s="57" t="s">
        <v>269</v>
      </c>
      <c r="D279" s="57" t="s">
        <v>238</v>
      </c>
      <c r="E279" s="57" t="s">
        <v>260</v>
      </c>
      <c r="F279">
        <v>5</v>
      </c>
      <c r="G279">
        <v>7000</v>
      </c>
      <c r="H279" s="11">
        <v>45025</v>
      </c>
      <c r="I279" s="57" t="s">
        <v>242</v>
      </c>
      <c r="J279" s="57" t="s">
        <v>143</v>
      </c>
      <c r="K279" s="57" t="s">
        <v>238</v>
      </c>
      <c r="L279" t="s">
        <v>243</v>
      </c>
    </row>
    <row r="280" spans="1:12" x14ac:dyDescent="0.3">
      <c r="A280" s="57" t="s">
        <v>543</v>
      </c>
      <c r="B280" s="57" t="s">
        <v>195</v>
      </c>
      <c r="C280" s="57" t="s">
        <v>196</v>
      </c>
      <c r="D280" s="57" t="s">
        <v>153</v>
      </c>
      <c r="E280" s="57" t="s">
        <v>149</v>
      </c>
      <c r="F280">
        <v>0</v>
      </c>
      <c r="G280">
        <v>5900</v>
      </c>
      <c r="H280" s="11">
        <v>45004</v>
      </c>
      <c r="I280" s="57" t="s">
        <v>266</v>
      </c>
      <c r="J280" s="57" t="s">
        <v>143</v>
      </c>
      <c r="K280" s="57" t="s">
        <v>238</v>
      </c>
      <c r="L280" t="s">
        <v>240</v>
      </c>
    </row>
    <row r="281" spans="1:12" x14ac:dyDescent="0.3">
      <c r="A281" s="57" t="s">
        <v>544</v>
      </c>
      <c r="B281" s="57" t="s">
        <v>236</v>
      </c>
      <c r="C281" s="57" t="s">
        <v>237</v>
      </c>
      <c r="D281" s="57" t="s">
        <v>238</v>
      </c>
      <c r="E281" s="57" t="s">
        <v>252</v>
      </c>
      <c r="F281">
        <v>7</v>
      </c>
      <c r="G281">
        <v>7000</v>
      </c>
      <c r="H281" s="11">
        <v>45248</v>
      </c>
      <c r="I281" s="57" t="s">
        <v>100</v>
      </c>
      <c r="J281" s="57" t="s">
        <v>248</v>
      </c>
      <c r="K281" s="57" t="s">
        <v>253</v>
      </c>
      <c r="L281" t="s">
        <v>243</v>
      </c>
    </row>
    <row r="282" spans="1:12" x14ac:dyDescent="0.3">
      <c r="A282" s="57" t="s">
        <v>545</v>
      </c>
      <c r="B282" s="57" t="s">
        <v>273</v>
      </c>
      <c r="C282" s="57" t="s">
        <v>237</v>
      </c>
      <c r="D282" s="57" t="s">
        <v>141</v>
      </c>
      <c r="E282" s="57" t="s">
        <v>260</v>
      </c>
      <c r="F282">
        <v>5</v>
      </c>
      <c r="G282">
        <v>5900</v>
      </c>
      <c r="H282" s="11">
        <v>44949</v>
      </c>
      <c r="I282" s="57" t="s">
        <v>95</v>
      </c>
      <c r="J282" s="57" t="s">
        <v>248</v>
      </c>
      <c r="K282" s="57" t="s">
        <v>253</v>
      </c>
      <c r="L282" t="s">
        <v>240</v>
      </c>
    </row>
    <row r="283" spans="1:12" x14ac:dyDescent="0.3">
      <c r="A283" s="57" t="s">
        <v>546</v>
      </c>
      <c r="B283" s="57" t="s">
        <v>245</v>
      </c>
      <c r="C283" s="57" t="s">
        <v>237</v>
      </c>
      <c r="D283" s="57" t="s">
        <v>144</v>
      </c>
      <c r="E283" s="57" t="s">
        <v>142</v>
      </c>
      <c r="F283">
        <v>7</v>
      </c>
      <c r="G283">
        <v>3725</v>
      </c>
      <c r="H283" s="11">
        <v>45290</v>
      </c>
      <c r="I283" s="57" t="s">
        <v>89</v>
      </c>
      <c r="J283" s="57" t="s">
        <v>248</v>
      </c>
      <c r="K283" s="57" t="s">
        <v>239</v>
      </c>
      <c r="L283" t="s">
        <v>258</v>
      </c>
    </row>
    <row r="284" spans="1:12" x14ac:dyDescent="0.3">
      <c r="A284" s="57" t="s">
        <v>547</v>
      </c>
      <c r="B284" s="57" t="s">
        <v>255</v>
      </c>
      <c r="C284" s="57" t="s">
        <v>237</v>
      </c>
      <c r="D284" s="57" t="s">
        <v>153</v>
      </c>
      <c r="E284" s="57" t="s">
        <v>149</v>
      </c>
      <c r="F284">
        <v>5</v>
      </c>
      <c r="G284">
        <v>1185</v>
      </c>
      <c r="H284" s="11">
        <v>45372</v>
      </c>
      <c r="I284" s="57" t="s">
        <v>242</v>
      </c>
      <c r="J284" s="57" t="s">
        <v>248</v>
      </c>
      <c r="K284" s="57" t="s">
        <v>239</v>
      </c>
      <c r="L284" t="s">
        <v>258</v>
      </c>
    </row>
    <row r="285" spans="1:12" x14ac:dyDescent="0.3">
      <c r="A285" s="57" t="s">
        <v>548</v>
      </c>
      <c r="B285" s="57" t="s">
        <v>255</v>
      </c>
      <c r="C285" s="57" t="s">
        <v>237</v>
      </c>
      <c r="D285" s="57" t="s">
        <v>144</v>
      </c>
      <c r="E285" s="57" t="s">
        <v>260</v>
      </c>
      <c r="F285">
        <v>7</v>
      </c>
      <c r="G285">
        <v>7000</v>
      </c>
      <c r="H285" s="11">
        <v>45416</v>
      </c>
      <c r="I285" s="57" t="s">
        <v>89</v>
      </c>
      <c r="J285" s="57" t="s">
        <v>248</v>
      </c>
      <c r="K285" s="57" t="s">
        <v>249</v>
      </c>
      <c r="L285" t="s">
        <v>243</v>
      </c>
    </row>
    <row r="286" spans="1:12" x14ac:dyDescent="0.3">
      <c r="A286" s="57" t="s">
        <v>549</v>
      </c>
      <c r="B286" s="57" t="s">
        <v>268</v>
      </c>
      <c r="C286" s="57" t="s">
        <v>269</v>
      </c>
      <c r="D286" s="57" t="s">
        <v>148</v>
      </c>
      <c r="E286" s="57" t="s">
        <v>256</v>
      </c>
      <c r="F286">
        <v>10</v>
      </c>
      <c r="G286">
        <v>7000</v>
      </c>
      <c r="H286" s="11">
        <v>45208</v>
      </c>
      <c r="I286" s="57" t="s">
        <v>89</v>
      </c>
      <c r="J286" s="57" t="s">
        <v>150</v>
      </c>
      <c r="K286" s="57" t="s">
        <v>239</v>
      </c>
      <c r="L286" t="s">
        <v>243</v>
      </c>
    </row>
    <row r="287" spans="1:12" x14ac:dyDescent="0.3">
      <c r="A287" s="57" t="s">
        <v>550</v>
      </c>
      <c r="B287" s="57" t="s">
        <v>247</v>
      </c>
      <c r="C287" s="57" t="s">
        <v>237</v>
      </c>
      <c r="D287" s="57" t="s">
        <v>151</v>
      </c>
      <c r="E287" s="57" t="s">
        <v>252</v>
      </c>
      <c r="F287">
        <v>5</v>
      </c>
      <c r="G287">
        <v>4176</v>
      </c>
      <c r="H287" s="11">
        <v>45109</v>
      </c>
      <c r="I287" s="57" t="s">
        <v>257</v>
      </c>
      <c r="J287" s="57" t="s">
        <v>147</v>
      </c>
      <c r="K287" s="57" t="s">
        <v>239</v>
      </c>
      <c r="L287" t="s">
        <v>240</v>
      </c>
    </row>
    <row r="288" spans="1:12" x14ac:dyDescent="0.3">
      <c r="A288" s="57" t="s">
        <v>551</v>
      </c>
      <c r="B288" s="57" t="s">
        <v>255</v>
      </c>
      <c r="C288" s="57" t="s">
        <v>237</v>
      </c>
      <c r="D288" s="57" t="s">
        <v>144</v>
      </c>
      <c r="E288" s="57" t="s">
        <v>149</v>
      </c>
      <c r="F288">
        <v>2</v>
      </c>
      <c r="G288">
        <v>7000</v>
      </c>
      <c r="H288" s="11">
        <v>45486</v>
      </c>
      <c r="I288" s="57" t="s">
        <v>291</v>
      </c>
      <c r="J288" s="57" t="s">
        <v>145</v>
      </c>
      <c r="K288" s="57" t="s">
        <v>249</v>
      </c>
      <c r="L288" t="s">
        <v>243</v>
      </c>
    </row>
    <row r="289" spans="1:12" x14ac:dyDescent="0.3">
      <c r="A289" s="57" t="s">
        <v>552</v>
      </c>
      <c r="B289" s="57" t="s">
        <v>273</v>
      </c>
      <c r="C289" s="57" t="s">
        <v>237</v>
      </c>
      <c r="D289" s="57" t="s">
        <v>148</v>
      </c>
      <c r="E289" s="57" t="s">
        <v>256</v>
      </c>
      <c r="F289">
        <v>0</v>
      </c>
      <c r="G289">
        <v>2154</v>
      </c>
      <c r="H289" s="11">
        <v>45518</v>
      </c>
      <c r="I289" s="57" t="s">
        <v>92</v>
      </c>
      <c r="J289" s="57" t="s">
        <v>145</v>
      </c>
      <c r="K289" s="57" t="s">
        <v>238</v>
      </c>
      <c r="L289" t="s">
        <v>258</v>
      </c>
    </row>
    <row r="290" spans="1:12" x14ac:dyDescent="0.3">
      <c r="A290" s="57" t="s">
        <v>553</v>
      </c>
      <c r="B290" s="57" t="s">
        <v>273</v>
      </c>
      <c r="C290" s="57" t="s">
        <v>237</v>
      </c>
      <c r="D290" s="57" t="s">
        <v>238</v>
      </c>
      <c r="E290" s="57" t="s">
        <v>256</v>
      </c>
      <c r="F290">
        <v>5</v>
      </c>
      <c r="G290">
        <v>3684</v>
      </c>
      <c r="H290" s="11">
        <v>45436</v>
      </c>
      <c r="I290" s="57" t="s">
        <v>242</v>
      </c>
      <c r="J290" s="57" t="s">
        <v>145</v>
      </c>
      <c r="K290" s="57" t="s">
        <v>238</v>
      </c>
      <c r="L290" t="s">
        <v>258</v>
      </c>
    </row>
    <row r="291" spans="1:12" x14ac:dyDescent="0.3">
      <c r="A291" s="57" t="s">
        <v>554</v>
      </c>
      <c r="B291" s="57" t="s">
        <v>245</v>
      </c>
      <c r="C291" s="57" t="s">
        <v>237</v>
      </c>
      <c r="D291" s="57" t="s">
        <v>146</v>
      </c>
      <c r="E291" s="57" t="s">
        <v>142</v>
      </c>
      <c r="F291">
        <v>7</v>
      </c>
      <c r="G291">
        <v>3433</v>
      </c>
      <c r="H291" s="11">
        <v>45487</v>
      </c>
      <c r="I291" s="57" t="s">
        <v>95</v>
      </c>
      <c r="J291" s="57" t="s">
        <v>143</v>
      </c>
      <c r="K291" s="57" t="s">
        <v>239</v>
      </c>
      <c r="L291" t="s">
        <v>258</v>
      </c>
    </row>
    <row r="292" spans="1:12" x14ac:dyDescent="0.3">
      <c r="A292" s="57" t="s">
        <v>555</v>
      </c>
      <c r="B292" s="57" t="s">
        <v>255</v>
      </c>
      <c r="C292" s="57" t="s">
        <v>237</v>
      </c>
      <c r="D292" s="57" t="s">
        <v>144</v>
      </c>
      <c r="E292" s="57" t="s">
        <v>149</v>
      </c>
      <c r="F292">
        <v>0</v>
      </c>
      <c r="G292">
        <v>7000</v>
      </c>
      <c r="H292" s="11">
        <v>45511</v>
      </c>
      <c r="I292" s="57" t="s">
        <v>242</v>
      </c>
      <c r="J292" s="57" t="s">
        <v>150</v>
      </c>
      <c r="K292" s="57" t="s">
        <v>238</v>
      </c>
      <c r="L292" t="s">
        <v>243</v>
      </c>
    </row>
    <row r="293" spans="1:12" x14ac:dyDescent="0.3">
      <c r="A293" s="57" t="s">
        <v>556</v>
      </c>
      <c r="B293" s="57" t="s">
        <v>255</v>
      </c>
      <c r="C293" s="57" t="s">
        <v>237</v>
      </c>
      <c r="D293" s="57" t="s">
        <v>146</v>
      </c>
      <c r="E293" s="57" t="s">
        <v>256</v>
      </c>
      <c r="F293">
        <v>7</v>
      </c>
      <c r="G293">
        <v>5900</v>
      </c>
      <c r="H293" s="11">
        <v>45353</v>
      </c>
      <c r="I293" s="57" t="s">
        <v>242</v>
      </c>
      <c r="J293" s="57" t="s">
        <v>147</v>
      </c>
      <c r="K293" s="57" t="s">
        <v>197</v>
      </c>
      <c r="L293" t="s">
        <v>240</v>
      </c>
    </row>
    <row r="294" spans="1:12" x14ac:dyDescent="0.3">
      <c r="A294" s="57" t="s">
        <v>557</v>
      </c>
      <c r="B294" s="57" t="s">
        <v>245</v>
      </c>
      <c r="C294" s="57" t="s">
        <v>237</v>
      </c>
      <c r="D294" s="57" t="s">
        <v>146</v>
      </c>
      <c r="E294" s="57" t="s">
        <v>252</v>
      </c>
      <c r="F294">
        <v>10</v>
      </c>
      <c r="G294">
        <v>5900</v>
      </c>
      <c r="H294" s="11">
        <v>45070</v>
      </c>
      <c r="I294" s="57" t="s">
        <v>242</v>
      </c>
      <c r="J294" s="57" t="s">
        <v>248</v>
      </c>
      <c r="K294" s="57" t="s">
        <v>253</v>
      </c>
      <c r="L294" t="s">
        <v>240</v>
      </c>
    </row>
    <row r="295" spans="1:12" x14ac:dyDescent="0.3">
      <c r="A295" s="57" t="s">
        <v>558</v>
      </c>
      <c r="B295" s="57" t="s">
        <v>236</v>
      </c>
      <c r="C295" s="57" t="s">
        <v>237</v>
      </c>
      <c r="D295" s="57" t="s">
        <v>148</v>
      </c>
      <c r="E295" s="57" t="s">
        <v>256</v>
      </c>
      <c r="F295">
        <v>7</v>
      </c>
      <c r="G295">
        <v>7000</v>
      </c>
      <c r="H295" s="11">
        <v>45212</v>
      </c>
      <c r="I295" s="57" t="s">
        <v>100</v>
      </c>
      <c r="J295" s="57" t="s">
        <v>150</v>
      </c>
      <c r="K295" s="57" t="s">
        <v>239</v>
      </c>
      <c r="L295" t="s">
        <v>243</v>
      </c>
    </row>
    <row r="296" spans="1:12" x14ac:dyDescent="0.3">
      <c r="A296" s="57" t="s">
        <v>559</v>
      </c>
      <c r="B296" s="57" t="s">
        <v>236</v>
      </c>
      <c r="C296" s="57" t="s">
        <v>237</v>
      </c>
      <c r="D296" s="57" t="s">
        <v>153</v>
      </c>
      <c r="E296" s="57" t="s">
        <v>252</v>
      </c>
      <c r="F296">
        <v>8</v>
      </c>
      <c r="G296">
        <v>5900</v>
      </c>
      <c r="H296" s="11">
        <v>44970</v>
      </c>
      <c r="I296" s="57" t="s">
        <v>89</v>
      </c>
      <c r="J296" s="57" t="s">
        <v>145</v>
      </c>
      <c r="K296" s="57" t="s">
        <v>238</v>
      </c>
      <c r="L296" t="s">
        <v>240</v>
      </c>
    </row>
    <row r="297" spans="1:12" x14ac:dyDescent="0.3">
      <c r="A297" s="57" t="s">
        <v>560</v>
      </c>
      <c r="B297" s="57" t="s">
        <v>268</v>
      </c>
      <c r="C297" s="57" t="s">
        <v>269</v>
      </c>
      <c r="D297" s="57" t="s">
        <v>153</v>
      </c>
      <c r="E297" s="57" t="s">
        <v>260</v>
      </c>
      <c r="F297">
        <v>10</v>
      </c>
      <c r="G297">
        <v>2501</v>
      </c>
      <c r="H297" s="11">
        <v>45434</v>
      </c>
      <c r="I297" s="57" t="s">
        <v>266</v>
      </c>
      <c r="J297" s="57" t="s">
        <v>143</v>
      </c>
      <c r="K297" s="57" t="s">
        <v>253</v>
      </c>
      <c r="L297" t="s">
        <v>258</v>
      </c>
    </row>
    <row r="298" spans="1:12" x14ac:dyDescent="0.3">
      <c r="A298" s="57" t="s">
        <v>561</v>
      </c>
      <c r="B298" s="57" t="s">
        <v>273</v>
      </c>
      <c r="C298" s="57" t="s">
        <v>237</v>
      </c>
      <c r="D298" s="57" t="s">
        <v>238</v>
      </c>
      <c r="E298" s="57" t="s">
        <v>149</v>
      </c>
      <c r="F298">
        <v>7</v>
      </c>
      <c r="G298">
        <v>5900</v>
      </c>
      <c r="H298" s="11">
        <v>45037</v>
      </c>
      <c r="I298" s="57" t="s">
        <v>266</v>
      </c>
      <c r="J298" s="57" t="s">
        <v>143</v>
      </c>
      <c r="K298" s="57" t="s">
        <v>197</v>
      </c>
      <c r="L298" t="s">
        <v>240</v>
      </c>
    </row>
    <row r="299" spans="1:12" x14ac:dyDescent="0.3">
      <c r="A299" s="57" t="s">
        <v>562</v>
      </c>
      <c r="B299" s="57" t="s">
        <v>245</v>
      </c>
      <c r="C299" s="57" t="s">
        <v>237</v>
      </c>
      <c r="D299" s="57" t="s">
        <v>141</v>
      </c>
      <c r="E299" s="57" t="s">
        <v>256</v>
      </c>
      <c r="F299">
        <v>6</v>
      </c>
      <c r="G299">
        <v>5900</v>
      </c>
      <c r="H299" s="11">
        <v>45589</v>
      </c>
      <c r="I299" s="57" t="s">
        <v>242</v>
      </c>
      <c r="J299" s="57" t="s">
        <v>150</v>
      </c>
      <c r="K299" s="57" t="s">
        <v>249</v>
      </c>
      <c r="L299" t="s">
        <v>240</v>
      </c>
    </row>
    <row r="300" spans="1:12" x14ac:dyDescent="0.3">
      <c r="A300" s="57" t="s">
        <v>563</v>
      </c>
      <c r="B300" s="57" t="s">
        <v>236</v>
      </c>
      <c r="C300" s="57" t="s">
        <v>237</v>
      </c>
      <c r="D300" s="57" t="s">
        <v>148</v>
      </c>
      <c r="E300" s="57" t="s">
        <v>260</v>
      </c>
      <c r="F300">
        <v>10</v>
      </c>
      <c r="G300">
        <v>7000</v>
      </c>
      <c r="H300" s="11">
        <v>45020</v>
      </c>
      <c r="I300" s="57" t="s">
        <v>242</v>
      </c>
      <c r="J300" s="57" t="s">
        <v>145</v>
      </c>
      <c r="K300" s="57" t="s">
        <v>239</v>
      </c>
      <c r="L300" t="s">
        <v>243</v>
      </c>
    </row>
    <row r="301" spans="1:12" x14ac:dyDescent="0.3">
      <c r="A301" s="57" t="s">
        <v>564</v>
      </c>
      <c r="B301" s="57" t="s">
        <v>273</v>
      </c>
      <c r="C301" s="57" t="s">
        <v>237</v>
      </c>
      <c r="D301" s="57" t="s">
        <v>151</v>
      </c>
      <c r="E301" s="57" t="s">
        <v>149</v>
      </c>
      <c r="F301">
        <v>5</v>
      </c>
      <c r="G301">
        <v>7000</v>
      </c>
      <c r="H301" s="11">
        <v>44947</v>
      </c>
      <c r="I301" s="57" t="s">
        <v>92</v>
      </c>
      <c r="J301" s="57" t="s">
        <v>145</v>
      </c>
      <c r="K301" s="57" t="s">
        <v>197</v>
      </c>
      <c r="L301" t="s">
        <v>243</v>
      </c>
    </row>
    <row r="302" spans="1:12" x14ac:dyDescent="0.3">
      <c r="A302" s="57" t="s">
        <v>565</v>
      </c>
      <c r="B302" s="57" t="s">
        <v>262</v>
      </c>
      <c r="C302" s="57" t="s">
        <v>263</v>
      </c>
      <c r="D302" s="57" t="s">
        <v>144</v>
      </c>
      <c r="E302" s="57" t="s">
        <v>252</v>
      </c>
      <c r="F302">
        <v>9</v>
      </c>
      <c r="G302">
        <v>7000</v>
      </c>
      <c r="H302" s="11">
        <v>45291</v>
      </c>
      <c r="I302" s="57" t="s">
        <v>92</v>
      </c>
      <c r="J302" s="57" t="s">
        <v>145</v>
      </c>
      <c r="K302" s="57" t="s">
        <v>239</v>
      </c>
      <c r="L302" t="s">
        <v>243</v>
      </c>
    </row>
    <row r="303" spans="1:12" x14ac:dyDescent="0.3">
      <c r="A303" s="57" t="s">
        <v>566</v>
      </c>
      <c r="B303" s="57" t="s">
        <v>245</v>
      </c>
      <c r="C303" s="57" t="s">
        <v>237</v>
      </c>
      <c r="D303" s="57" t="s">
        <v>141</v>
      </c>
      <c r="E303" s="57" t="s">
        <v>142</v>
      </c>
      <c r="F303">
        <v>4</v>
      </c>
      <c r="G303">
        <v>3290</v>
      </c>
      <c r="H303" s="11">
        <v>45529</v>
      </c>
      <c r="I303" s="57" t="s">
        <v>92</v>
      </c>
      <c r="J303" s="57" t="s">
        <v>248</v>
      </c>
      <c r="K303" s="57" t="s">
        <v>238</v>
      </c>
      <c r="L303" t="s">
        <v>258</v>
      </c>
    </row>
    <row r="304" spans="1:12" x14ac:dyDescent="0.3">
      <c r="A304" s="57" t="s">
        <v>567</v>
      </c>
      <c r="B304" s="57" t="s">
        <v>268</v>
      </c>
      <c r="C304" s="57" t="s">
        <v>269</v>
      </c>
      <c r="D304" s="57" t="s">
        <v>144</v>
      </c>
      <c r="E304" s="57" t="s">
        <v>149</v>
      </c>
      <c r="F304">
        <v>2</v>
      </c>
      <c r="G304">
        <v>5900</v>
      </c>
      <c r="H304" s="11">
        <v>44948</v>
      </c>
      <c r="I304" s="57" t="s">
        <v>257</v>
      </c>
      <c r="J304" s="57" t="s">
        <v>248</v>
      </c>
      <c r="K304" s="57" t="s">
        <v>239</v>
      </c>
      <c r="L304" t="s">
        <v>240</v>
      </c>
    </row>
    <row r="305" spans="1:12" x14ac:dyDescent="0.3">
      <c r="A305" s="57" t="s">
        <v>568</v>
      </c>
      <c r="B305" s="57" t="s">
        <v>268</v>
      </c>
      <c r="C305" s="57" t="s">
        <v>269</v>
      </c>
      <c r="D305" s="57" t="s">
        <v>152</v>
      </c>
      <c r="E305" s="57" t="s">
        <v>252</v>
      </c>
      <c r="F305">
        <v>5</v>
      </c>
      <c r="G305">
        <v>4494</v>
      </c>
      <c r="H305" s="11">
        <v>45154</v>
      </c>
      <c r="I305" s="57" t="s">
        <v>92</v>
      </c>
      <c r="J305" s="57" t="s">
        <v>147</v>
      </c>
      <c r="K305" s="57" t="s">
        <v>264</v>
      </c>
      <c r="L305" t="s">
        <v>240</v>
      </c>
    </row>
    <row r="306" spans="1:12" x14ac:dyDescent="0.3">
      <c r="A306" s="57" t="s">
        <v>569</v>
      </c>
      <c r="B306" s="57" t="s">
        <v>255</v>
      </c>
      <c r="C306" s="57" t="s">
        <v>237</v>
      </c>
      <c r="D306" s="57" t="s">
        <v>238</v>
      </c>
      <c r="E306" s="57" t="s">
        <v>252</v>
      </c>
      <c r="F306">
        <v>7</v>
      </c>
      <c r="G306">
        <v>5900</v>
      </c>
      <c r="H306" s="11">
        <v>45269</v>
      </c>
      <c r="I306" s="57" t="s">
        <v>291</v>
      </c>
      <c r="J306" s="57" t="s">
        <v>143</v>
      </c>
      <c r="K306" s="57" t="s">
        <v>264</v>
      </c>
      <c r="L306" t="s">
        <v>240</v>
      </c>
    </row>
    <row r="307" spans="1:12" x14ac:dyDescent="0.3">
      <c r="A307" s="57" t="s">
        <v>570</v>
      </c>
      <c r="B307" s="57" t="s">
        <v>236</v>
      </c>
      <c r="C307" s="57" t="s">
        <v>237</v>
      </c>
      <c r="D307" s="57" t="s">
        <v>144</v>
      </c>
      <c r="E307" s="57" t="s">
        <v>252</v>
      </c>
      <c r="F307">
        <v>5</v>
      </c>
      <c r="G307">
        <v>7000</v>
      </c>
      <c r="H307" s="11">
        <v>45105</v>
      </c>
      <c r="I307" s="57" t="s">
        <v>95</v>
      </c>
      <c r="J307" s="57" t="s">
        <v>248</v>
      </c>
      <c r="K307" s="57" t="s">
        <v>239</v>
      </c>
      <c r="L307" t="s">
        <v>243</v>
      </c>
    </row>
    <row r="308" spans="1:12" x14ac:dyDescent="0.3">
      <c r="A308" s="57" t="s">
        <v>571</v>
      </c>
      <c r="B308" s="57" t="s">
        <v>247</v>
      </c>
      <c r="C308" s="57" t="s">
        <v>237</v>
      </c>
      <c r="D308" s="57" t="s">
        <v>152</v>
      </c>
      <c r="E308" s="57" t="s">
        <v>149</v>
      </c>
      <c r="F308">
        <v>10</v>
      </c>
      <c r="G308">
        <v>7000</v>
      </c>
      <c r="H308" s="11">
        <v>45498</v>
      </c>
      <c r="I308" s="57" t="s">
        <v>291</v>
      </c>
      <c r="J308" s="57" t="s">
        <v>150</v>
      </c>
      <c r="K308" s="57" t="s">
        <v>239</v>
      </c>
      <c r="L308" t="s">
        <v>243</v>
      </c>
    </row>
    <row r="309" spans="1:12" x14ac:dyDescent="0.3">
      <c r="A309" s="57" t="s">
        <v>572</v>
      </c>
      <c r="B309" s="57" t="s">
        <v>255</v>
      </c>
      <c r="C309" s="57" t="s">
        <v>237</v>
      </c>
      <c r="D309" s="57" t="s">
        <v>238</v>
      </c>
      <c r="E309" s="57" t="s">
        <v>142</v>
      </c>
      <c r="F309">
        <v>5</v>
      </c>
      <c r="G309">
        <v>4784</v>
      </c>
      <c r="H309" s="11">
        <v>44930</v>
      </c>
      <c r="I309" s="57" t="s">
        <v>291</v>
      </c>
      <c r="J309" s="57" t="s">
        <v>248</v>
      </c>
      <c r="K309" s="57" t="s">
        <v>197</v>
      </c>
      <c r="L309" t="s">
        <v>240</v>
      </c>
    </row>
    <row r="310" spans="1:12" x14ac:dyDescent="0.3">
      <c r="A310" s="57" t="s">
        <v>573</v>
      </c>
      <c r="B310" s="57" t="s">
        <v>236</v>
      </c>
      <c r="C310" s="57" t="s">
        <v>237</v>
      </c>
      <c r="D310" s="57" t="s">
        <v>144</v>
      </c>
      <c r="E310" s="57" t="s">
        <v>142</v>
      </c>
      <c r="F310">
        <v>10</v>
      </c>
      <c r="G310">
        <v>7000</v>
      </c>
      <c r="H310" s="11">
        <v>45605</v>
      </c>
      <c r="I310" s="57" t="s">
        <v>291</v>
      </c>
      <c r="J310" s="57" t="s">
        <v>147</v>
      </c>
      <c r="K310" s="57" t="s">
        <v>264</v>
      </c>
      <c r="L310" t="s">
        <v>243</v>
      </c>
    </row>
    <row r="311" spans="1:12" x14ac:dyDescent="0.3">
      <c r="A311" s="57" t="s">
        <v>574</v>
      </c>
      <c r="B311" s="57" t="s">
        <v>245</v>
      </c>
      <c r="C311" s="57" t="s">
        <v>237</v>
      </c>
      <c r="D311" s="57" t="s">
        <v>238</v>
      </c>
      <c r="E311" s="57" t="s">
        <v>149</v>
      </c>
      <c r="F311">
        <v>0</v>
      </c>
      <c r="G311">
        <v>7000</v>
      </c>
      <c r="H311" s="11">
        <v>45286</v>
      </c>
      <c r="I311" s="57" t="s">
        <v>95</v>
      </c>
      <c r="J311" s="57" t="s">
        <v>248</v>
      </c>
      <c r="K311" s="57" t="s">
        <v>238</v>
      </c>
      <c r="L311" t="s">
        <v>243</v>
      </c>
    </row>
    <row r="312" spans="1:12" x14ac:dyDescent="0.3">
      <c r="A312" s="57" t="s">
        <v>575</v>
      </c>
      <c r="B312" s="57" t="s">
        <v>275</v>
      </c>
      <c r="C312" s="57" t="s">
        <v>276</v>
      </c>
      <c r="D312" s="57" t="s">
        <v>141</v>
      </c>
      <c r="E312" s="57" t="s">
        <v>252</v>
      </c>
      <c r="F312">
        <v>7</v>
      </c>
      <c r="G312">
        <v>5900</v>
      </c>
      <c r="H312" s="11">
        <v>44961</v>
      </c>
      <c r="I312" s="57" t="s">
        <v>89</v>
      </c>
      <c r="J312" s="57" t="s">
        <v>248</v>
      </c>
      <c r="K312" s="57" t="s">
        <v>238</v>
      </c>
      <c r="L312" t="s">
        <v>240</v>
      </c>
    </row>
    <row r="313" spans="1:12" x14ac:dyDescent="0.3">
      <c r="A313" s="57" t="s">
        <v>576</v>
      </c>
      <c r="B313" s="57" t="s">
        <v>262</v>
      </c>
      <c r="C313" s="57" t="s">
        <v>263</v>
      </c>
      <c r="D313" s="57" t="s">
        <v>148</v>
      </c>
      <c r="E313" s="57" t="s">
        <v>142</v>
      </c>
      <c r="F313">
        <v>5</v>
      </c>
      <c r="G313">
        <v>7000</v>
      </c>
      <c r="H313" s="11">
        <v>45459</v>
      </c>
      <c r="I313" s="57" t="s">
        <v>257</v>
      </c>
      <c r="J313" s="57" t="s">
        <v>147</v>
      </c>
      <c r="K313" s="57" t="s">
        <v>197</v>
      </c>
      <c r="L313" t="s">
        <v>243</v>
      </c>
    </row>
    <row r="314" spans="1:12" x14ac:dyDescent="0.3">
      <c r="A314" s="57" t="s">
        <v>577</v>
      </c>
      <c r="B314" s="57" t="s">
        <v>262</v>
      </c>
      <c r="C314" s="57" t="s">
        <v>263</v>
      </c>
      <c r="D314" s="57" t="s">
        <v>141</v>
      </c>
      <c r="E314" s="57" t="s">
        <v>142</v>
      </c>
      <c r="F314">
        <v>0</v>
      </c>
      <c r="G314">
        <v>7000</v>
      </c>
      <c r="H314" s="11">
        <v>45543</v>
      </c>
      <c r="I314" s="57" t="s">
        <v>95</v>
      </c>
      <c r="J314" s="57" t="s">
        <v>150</v>
      </c>
      <c r="K314" s="57" t="s">
        <v>197</v>
      </c>
      <c r="L314" t="s">
        <v>243</v>
      </c>
    </row>
    <row r="315" spans="1:12" x14ac:dyDescent="0.3">
      <c r="A315" s="57" t="s">
        <v>578</v>
      </c>
      <c r="B315" s="57" t="s">
        <v>268</v>
      </c>
      <c r="C315" s="57" t="s">
        <v>269</v>
      </c>
      <c r="D315" s="57" t="s">
        <v>146</v>
      </c>
      <c r="E315" s="57" t="s">
        <v>256</v>
      </c>
      <c r="F315">
        <v>7</v>
      </c>
      <c r="G315">
        <v>7000</v>
      </c>
      <c r="H315" s="11">
        <v>45567</v>
      </c>
      <c r="I315" s="57" t="s">
        <v>291</v>
      </c>
      <c r="J315" s="57" t="s">
        <v>143</v>
      </c>
      <c r="K315" s="57" t="s">
        <v>238</v>
      </c>
      <c r="L315" t="s">
        <v>243</v>
      </c>
    </row>
    <row r="316" spans="1:12" x14ac:dyDescent="0.3">
      <c r="A316" s="57" t="s">
        <v>579</v>
      </c>
      <c r="B316" s="57" t="s">
        <v>255</v>
      </c>
      <c r="C316" s="57" t="s">
        <v>237</v>
      </c>
      <c r="D316" s="57" t="s">
        <v>151</v>
      </c>
      <c r="E316" s="57" t="s">
        <v>142</v>
      </c>
      <c r="F316">
        <v>7</v>
      </c>
      <c r="G316">
        <v>5900</v>
      </c>
      <c r="H316" s="11">
        <v>45188</v>
      </c>
      <c r="I316" s="57" t="s">
        <v>242</v>
      </c>
      <c r="J316" s="57" t="s">
        <v>248</v>
      </c>
      <c r="K316" s="57" t="s">
        <v>249</v>
      </c>
      <c r="L316" t="s">
        <v>240</v>
      </c>
    </row>
    <row r="317" spans="1:12" x14ac:dyDescent="0.3">
      <c r="A317" s="57" t="s">
        <v>580</v>
      </c>
      <c r="B317" s="57" t="s">
        <v>245</v>
      </c>
      <c r="C317" s="57" t="s">
        <v>237</v>
      </c>
      <c r="D317" s="57" t="s">
        <v>141</v>
      </c>
      <c r="E317" s="57" t="s">
        <v>256</v>
      </c>
      <c r="F317">
        <v>0</v>
      </c>
      <c r="G317">
        <v>5900</v>
      </c>
      <c r="H317" s="11">
        <v>45590</v>
      </c>
      <c r="I317" s="57" t="s">
        <v>291</v>
      </c>
      <c r="J317" s="57" t="s">
        <v>147</v>
      </c>
      <c r="K317" s="57" t="s">
        <v>197</v>
      </c>
      <c r="L317" t="s">
        <v>240</v>
      </c>
    </row>
    <row r="318" spans="1:12" x14ac:dyDescent="0.3">
      <c r="A318" s="57" t="s">
        <v>581</v>
      </c>
      <c r="B318" s="57" t="s">
        <v>275</v>
      </c>
      <c r="C318" s="57" t="s">
        <v>276</v>
      </c>
      <c r="D318" s="57" t="s">
        <v>151</v>
      </c>
      <c r="E318" s="57" t="s">
        <v>142</v>
      </c>
      <c r="F318">
        <v>5</v>
      </c>
      <c r="G318">
        <v>5900</v>
      </c>
      <c r="H318" s="11">
        <v>45079</v>
      </c>
      <c r="I318" s="57" t="s">
        <v>242</v>
      </c>
      <c r="J318" s="57" t="s">
        <v>248</v>
      </c>
      <c r="K318" s="57" t="s">
        <v>239</v>
      </c>
      <c r="L318" t="s">
        <v>240</v>
      </c>
    </row>
    <row r="319" spans="1:12" x14ac:dyDescent="0.3">
      <c r="A319" s="57" t="s">
        <v>582</v>
      </c>
      <c r="B319" s="57" t="s">
        <v>245</v>
      </c>
      <c r="C319" s="57" t="s">
        <v>237</v>
      </c>
      <c r="D319" s="57" t="s">
        <v>144</v>
      </c>
      <c r="E319" s="57" t="s">
        <v>252</v>
      </c>
      <c r="F319">
        <v>0</v>
      </c>
      <c r="G319">
        <v>5900</v>
      </c>
      <c r="H319" s="11">
        <v>45265</v>
      </c>
      <c r="I319" s="57" t="s">
        <v>100</v>
      </c>
      <c r="J319" s="57" t="s">
        <v>248</v>
      </c>
      <c r="K319" s="57" t="s">
        <v>197</v>
      </c>
      <c r="L319" t="s">
        <v>240</v>
      </c>
    </row>
    <row r="320" spans="1:12" x14ac:dyDescent="0.3">
      <c r="A320" s="57" t="s">
        <v>583</v>
      </c>
      <c r="B320" s="57" t="s">
        <v>247</v>
      </c>
      <c r="C320" s="57" t="s">
        <v>237</v>
      </c>
      <c r="D320" s="57" t="s">
        <v>144</v>
      </c>
      <c r="E320" s="57" t="s">
        <v>149</v>
      </c>
      <c r="F320">
        <v>10</v>
      </c>
      <c r="G320">
        <v>695</v>
      </c>
      <c r="H320" s="11">
        <v>45055</v>
      </c>
      <c r="I320" s="57" t="s">
        <v>257</v>
      </c>
      <c r="J320" s="57" t="s">
        <v>145</v>
      </c>
      <c r="K320" s="57" t="s">
        <v>249</v>
      </c>
      <c r="L320" t="s">
        <v>302</v>
      </c>
    </row>
    <row r="321" spans="1:12" x14ac:dyDescent="0.3">
      <c r="A321" s="57" t="s">
        <v>584</v>
      </c>
      <c r="B321" s="57" t="s">
        <v>195</v>
      </c>
      <c r="C321" s="57" t="s">
        <v>196</v>
      </c>
      <c r="D321" s="57" t="s">
        <v>151</v>
      </c>
      <c r="E321" s="57" t="s">
        <v>142</v>
      </c>
      <c r="F321">
        <v>10</v>
      </c>
      <c r="G321">
        <v>7000</v>
      </c>
      <c r="H321" s="11">
        <v>45488</v>
      </c>
      <c r="I321" s="57" t="s">
        <v>100</v>
      </c>
      <c r="J321" s="57" t="s">
        <v>145</v>
      </c>
      <c r="K321" s="57" t="s">
        <v>239</v>
      </c>
      <c r="L321" t="s">
        <v>243</v>
      </c>
    </row>
    <row r="322" spans="1:12" x14ac:dyDescent="0.3">
      <c r="A322" s="57" t="s">
        <v>585</v>
      </c>
      <c r="B322" s="57" t="s">
        <v>262</v>
      </c>
      <c r="C322" s="57" t="s">
        <v>263</v>
      </c>
      <c r="D322" s="57" t="s">
        <v>238</v>
      </c>
      <c r="E322" s="57" t="s">
        <v>149</v>
      </c>
      <c r="F322">
        <v>7</v>
      </c>
      <c r="G322">
        <v>7000</v>
      </c>
      <c r="H322" s="11">
        <v>45537</v>
      </c>
      <c r="I322" s="57" t="s">
        <v>266</v>
      </c>
      <c r="J322" s="57" t="s">
        <v>248</v>
      </c>
      <c r="K322" s="57" t="s">
        <v>264</v>
      </c>
      <c r="L322" t="s">
        <v>243</v>
      </c>
    </row>
    <row r="323" spans="1:12" x14ac:dyDescent="0.3">
      <c r="A323" s="57" t="s">
        <v>586</v>
      </c>
      <c r="B323" s="57" t="s">
        <v>236</v>
      </c>
      <c r="C323" s="57" t="s">
        <v>237</v>
      </c>
      <c r="D323" s="57" t="s">
        <v>152</v>
      </c>
      <c r="E323" s="57" t="s">
        <v>252</v>
      </c>
      <c r="F323">
        <v>0</v>
      </c>
      <c r="G323">
        <v>7000</v>
      </c>
      <c r="H323" s="11">
        <v>45357</v>
      </c>
      <c r="I323" s="57" t="s">
        <v>242</v>
      </c>
      <c r="J323" s="57" t="s">
        <v>147</v>
      </c>
      <c r="K323" s="57" t="s">
        <v>253</v>
      </c>
      <c r="L323" t="s">
        <v>243</v>
      </c>
    </row>
    <row r="324" spans="1:12" x14ac:dyDescent="0.3">
      <c r="A324" s="57" t="s">
        <v>587</v>
      </c>
      <c r="B324" s="57" t="s">
        <v>255</v>
      </c>
      <c r="C324" s="57" t="s">
        <v>237</v>
      </c>
      <c r="D324" s="57" t="s">
        <v>151</v>
      </c>
      <c r="E324" s="57" t="s">
        <v>149</v>
      </c>
      <c r="F324">
        <v>10</v>
      </c>
      <c r="G324">
        <v>4868</v>
      </c>
      <c r="H324" s="11">
        <v>45054</v>
      </c>
      <c r="I324" s="57" t="s">
        <v>92</v>
      </c>
      <c r="J324" s="57" t="s">
        <v>147</v>
      </c>
      <c r="K324" s="57" t="s">
        <v>238</v>
      </c>
      <c r="L324" t="s">
        <v>240</v>
      </c>
    </row>
    <row r="325" spans="1:12" x14ac:dyDescent="0.3">
      <c r="A325" s="57" t="s">
        <v>588</v>
      </c>
      <c r="B325" s="57" t="s">
        <v>273</v>
      </c>
      <c r="C325" s="57" t="s">
        <v>237</v>
      </c>
      <c r="D325" s="57" t="s">
        <v>148</v>
      </c>
      <c r="E325" s="57" t="s">
        <v>149</v>
      </c>
      <c r="F325">
        <v>0</v>
      </c>
      <c r="G325">
        <v>7000</v>
      </c>
      <c r="H325" s="11">
        <v>45265</v>
      </c>
      <c r="I325" s="57" t="s">
        <v>291</v>
      </c>
      <c r="J325" s="57" t="s">
        <v>145</v>
      </c>
      <c r="K325" s="57" t="s">
        <v>197</v>
      </c>
      <c r="L325" t="s">
        <v>243</v>
      </c>
    </row>
    <row r="326" spans="1:12" x14ac:dyDescent="0.3">
      <c r="A326" s="57" t="s">
        <v>589</v>
      </c>
      <c r="B326" s="57" t="s">
        <v>251</v>
      </c>
      <c r="C326" s="57" t="s">
        <v>237</v>
      </c>
      <c r="D326" s="57" t="s">
        <v>238</v>
      </c>
      <c r="E326" s="57" t="s">
        <v>260</v>
      </c>
      <c r="F326">
        <v>9</v>
      </c>
      <c r="G326">
        <v>5900</v>
      </c>
      <c r="H326" s="11">
        <v>44993</v>
      </c>
      <c r="I326" s="57" t="s">
        <v>266</v>
      </c>
      <c r="J326" s="57" t="s">
        <v>145</v>
      </c>
      <c r="K326" s="57" t="s">
        <v>197</v>
      </c>
      <c r="L326" t="s">
        <v>240</v>
      </c>
    </row>
    <row r="327" spans="1:12" x14ac:dyDescent="0.3">
      <c r="A327" s="57" t="s">
        <v>590</v>
      </c>
      <c r="B327" s="57" t="s">
        <v>268</v>
      </c>
      <c r="C327" s="57" t="s">
        <v>269</v>
      </c>
      <c r="D327" s="57" t="s">
        <v>238</v>
      </c>
      <c r="E327" s="57" t="s">
        <v>256</v>
      </c>
      <c r="F327">
        <v>9</v>
      </c>
      <c r="G327">
        <v>7000</v>
      </c>
      <c r="H327" s="11">
        <v>45079</v>
      </c>
      <c r="I327" s="57" t="s">
        <v>266</v>
      </c>
      <c r="J327" s="57" t="s">
        <v>145</v>
      </c>
      <c r="K327" s="57" t="s">
        <v>239</v>
      </c>
      <c r="L327" t="s">
        <v>243</v>
      </c>
    </row>
    <row r="328" spans="1:12" x14ac:dyDescent="0.3">
      <c r="A328" s="57" t="s">
        <v>591</v>
      </c>
      <c r="B328" s="57" t="s">
        <v>251</v>
      </c>
      <c r="C328" s="57" t="s">
        <v>237</v>
      </c>
      <c r="D328" s="57" t="s">
        <v>144</v>
      </c>
      <c r="E328" s="57" t="s">
        <v>260</v>
      </c>
      <c r="F328">
        <v>10</v>
      </c>
      <c r="G328">
        <v>5900</v>
      </c>
      <c r="H328" s="11">
        <v>45244</v>
      </c>
      <c r="I328" s="57" t="s">
        <v>95</v>
      </c>
      <c r="J328" s="57" t="s">
        <v>145</v>
      </c>
      <c r="K328" s="57" t="s">
        <v>253</v>
      </c>
      <c r="L328" t="s">
        <v>240</v>
      </c>
    </row>
    <row r="329" spans="1:12" x14ac:dyDescent="0.3">
      <c r="A329" s="57" t="s">
        <v>592</v>
      </c>
      <c r="B329" s="57" t="s">
        <v>273</v>
      </c>
      <c r="C329" s="57" t="s">
        <v>237</v>
      </c>
      <c r="D329" s="57" t="s">
        <v>144</v>
      </c>
      <c r="E329" s="57" t="s">
        <v>142</v>
      </c>
      <c r="F329">
        <v>7</v>
      </c>
      <c r="G329">
        <v>7000</v>
      </c>
      <c r="H329" s="11">
        <v>45408</v>
      </c>
      <c r="I329" s="57" t="s">
        <v>257</v>
      </c>
      <c r="J329" s="57" t="s">
        <v>145</v>
      </c>
      <c r="K329" s="57" t="s">
        <v>239</v>
      </c>
      <c r="L329" t="s">
        <v>243</v>
      </c>
    </row>
    <row r="330" spans="1:12" x14ac:dyDescent="0.3">
      <c r="A330" s="57" t="s">
        <v>593</v>
      </c>
      <c r="B330" s="57" t="s">
        <v>275</v>
      </c>
      <c r="C330" s="57" t="s">
        <v>276</v>
      </c>
      <c r="D330" s="57" t="s">
        <v>151</v>
      </c>
      <c r="E330" s="57" t="s">
        <v>252</v>
      </c>
      <c r="F330">
        <v>3</v>
      </c>
      <c r="G330">
        <v>7000</v>
      </c>
      <c r="H330" s="11">
        <v>45298</v>
      </c>
      <c r="I330" s="57" t="s">
        <v>92</v>
      </c>
      <c r="J330" s="57" t="s">
        <v>143</v>
      </c>
      <c r="K330" s="57" t="s">
        <v>197</v>
      </c>
      <c r="L330" t="s">
        <v>243</v>
      </c>
    </row>
    <row r="331" spans="1:12" x14ac:dyDescent="0.3">
      <c r="A331" s="57" t="s">
        <v>594</v>
      </c>
      <c r="B331" s="57" t="s">
        <v>236</v>
      </c>
      <c r="C331" s="57" t="s">
        <v>237</v>
      </c>
      <c r="D331" s="57" t="s">
        <v>146</v>
      </c>
      <c r="E331" s="57" t="s">
        <v>252</v>
      </c>
      <c r="F331">
        <v>7</v>
      </c>
      <c r="G331">
        <v>5900</v>
      </c>
      <c r="H331" s="11">
        <v>45627</v>
      </c>
      <c r="I331" s="57" t="s">
        <v>242</v>
      </c>
      <c r="J331" s="57" t="s">
        <v>143</v>
      </c>
      <c r="K331" s="57" t="s">
        <v>253</v>
      </c>
      <c r="L331" t="s">
        <v>240</v>
      </c>
    </row>
    <row r="332" spans="1:12" x14ac:dyDescent="0.3">
      <c r="A332" s="57" t="s">
        <v>595</v>
      </c>
      <c r="B332" s="57" t="s">
        <v>245</v>
      </c>
      <c r="C332" s="57" t="s">
        <v>237</v>
      </c>
      <c r="D332" s="57" t="s">
        <v>146</v>
      </c>
      <c r="E332" s="57" t="s">
        <v>149</v>
      </c>
      <c r="F332">
        <v>5</v>
      </c>
      <c r="G332">
        <v>7000</v>
      </c>
      <c r="H332" s="11">
        <v>45270</v>
      </c>
      <c r="I332" s="57" t="s">
        <v>95</v>
      </c>
      <c r="J332" s="57" t="s">
        <v>150</v>
      </c>
      <c r="K332" s="57" t="s">
        <v>249</v>
      </c>
      <c r="L332" t="s">
        <v>243</v>
      </c>
    </row>
    <row r="333" spans="1:12" x14ac:dyDescent="0.3">
      <c r="A333" s="57" t="s">
        <v>596</v>
      </c>
      <c r="B333" s="57" t="s">
        <v>236</v>
      </c>
      <c r="C333" s="57" t="s">
        <v>237</v>
      </c>
      <c r="D333" s="57" t="s">
        <v>238</v>
      </c>
      <c r="E333" s="57" t="s">
        <v>252</v>
      </c>
      <c r="F333">
        <v>10</v>
      </c>
      <c r="G333">
        <v>1053</v>
      </c>
      <c r="H333" s="11">
        <v>45073</v>
      </c>
      <c r="I333" s="57" t="s">
        <v>266</v>
      </c>
      <c r="J333" s="57" t="s">
        <v>248</v>
      </c>
      <c r="K333" s="57" t="s">
        <v>253</v>
      </c>
      <c r="L333" t="s">
        <v>258</v>
      </c>
    </row>
    <row r="334" spans="1:12" x14ac:dyDescent="0.3">
      <c r="A334" s="57" t="s">
        <v>597</v>
      </c>
      <c r="B334" s="57" t="s">
        <v>255</v>
      </c>
      <c r="C334" s="57" t="s">
        <v>237</v>
      </c>
      <c r="D334" s="57" t="s">
        <v>151</v>
      </c>
      <c r="E334" s="57" t="s">
        <v>256</v>
      </c>
      <c r="F334">
        <v>10</v>
      </c>
      <c r="G334">
        <v>7000</v>
      </c>
      <c r="H334" s="11">
        <v>45566</v>
      </c>
      <c r="I334" s="57" t="s">
        <v>95</v>
      </c>
      <c r="J334" s="57" t="s">
        <v>143</v>
      </c>
      <c r="K334" s="57" t="s">
        <v>197</v>
      </c>
      <c r="L334" t="s">
        <v>243</v>
      </c>
    </row>
    <row r="335" spans="1:12" x14ac:dyDescent="0.3">
      <c r="A335" s="57" t="s">
        <v>598</v>
      </c>
      <c r="B335" s="57" t="s">
        <v>195</v>
      </c>
      <c r="C335" s="57" t="s">
        <v>196</v>
      </c>
      <c r="D335" s="57" t="s">
        <v>151</v>
      </c>
      <c r="E335" s="57" t="s">
        <v>256</v>
      </c>
      <c r="F335">
        <v>10</v>
      </c>
      <c r="G335">
        <v>5900</v>
      </c>
      <c r="H335" s="11">
        <v>45396</v>
      </c>
      <c r="I335" s="57" t="s">
        <v>100</v>
      </c>
      <c r="J335" s="57" t="s">
        <v>150</v>
      </c>
      <c r="K335" s="57" t="s">
        <v>249</v>
      </c>
      <c r="L335" t="s">
        <v>240</v>
      </c>
    </row>
    <row r="336" spans="1:12" x14ac:dyDescent="0.3">
      <c r="A336" s="57" t="s">
        <v>599</v>
      </c>
      <c r="B336" s="57" t="s">
        <v>251</v>
      </c>
      <c r="C336" s="57" t="s">
        <v>237</v>
      </c>
      <c r="D336" s="57" t="s">
        <v>151</v>
      </c>
      <c r="E336" s="57" t="s">
        <v>260</v>
      </c>
      <c r="F336">
        <v>5</v>
      </c>
      <c r="G336">
        <v>7000</v>
      </c>
      <c r="H336" s="11">
        <v>45560</v>
      </c>
      <c r="I336" s="57" t="s">
        <v>92</v>
      </c>
      <c r="J336" s="57" t="s">
        <v>147</v>
      </c>
      <c r="K336" s="57" t="s">
        <v>264</v>
      </c>
      <c r="L336" t="s">
        <v>243</v>
      </c>
    </row>
    <row r="337" spans="1:12" x14ac:dyDescent="0.3">
      <c r="A337" s="57" t="s">
        <v>600</v>
      </c>
      <c r="B337" s="57" t="s">
        <v>268</v>
      </c>
      <c r="C337" s="57" t="s">
        <v>269</v>
      </c>
      <c r="D337" s="57" t="s">
        <v>151</v>
      </c>
      <c r="E337" s="57" t="s">
        <v>256</v>
      </c>
      <c r="F337">
        <v>7</v>
      </c>
      <c r="G337">
        <v>5900</v>
      </c>
      <c r="H337" s="11">
        <v>45054</v>
      </c>
      <c r="I337" s="57" t="s">
        <v>266</v>
      </c>
      <c r="J337" s="57" t="s">
        <v>248</v>
      </c>
      <c r="K337" s="57" t="s">
        <v>249</v>
      </c>
      <c r="L337" t="s">
        <v>240</v>
      </c>
    </row>
    <row r="338" spans="1:12" x14ac:dyDescent="0.3">
      <c r="A338" s="57" t="s">
        <v>601</v>
      </c>
      <c r="B338" s="57" t="s">
        <v>195</v>
      </c>
      <c r="C338" s="57" t="s">
        <v>196</v>
      </c>
      <c r="D338" s="57" t="s">
        <v>148</v>
      </c>
      <c r="E338" s="57" t="s">
        <v>142</v>
      </c>
      <c r="F338">
        <v>0</v>
      </c>
      <c r="G338">
        <v>7000</v>
      </c>
      <c r="H338" s="11">
        <v>44949</v>
      </c>
      <c r="I338" s="57" t="s">
        <v>95</v>
      </c>
      <c r="J338" s="57" t="s">
        <v>143</v>
      </c>
      <c r="K338" s="57" t="s">
        <v>264</v>
      </c>
      <c r="L338" t="s">
        <v>243</v>
      </c>
    </row>
    <row r="339" spans="1:12" x14ac:dyDescent="0.3">
      <c r="A339" s="57" t="s">
        <v>602</v>
      </c>
      <c r="B339" s="57" t="s">
        <v>251</v>
      </c>
      <c r="C339" s="57" t="s">
        <v>237</v>
      </c>
      <c r="D339" s="57" t="s">
        <v>238</v>
      </c>
      <c r="E339" s="57" t="s">
        <v>260</v>
      </c>
      <c r="F339">
        <v>7</v>
      </c>
      <c r="G339">
        <v>5900</v>
      </c>
      <c r="H339" s="11">
        <v>45250</v>
      </c>
      <c r="I339" s="57" t="s">
        <v>100</v>
      </c>
      <c r="J339" s="57" t="s">
        <v>147</v>
      </c>
      <c r="K339" s="57" t="s">
        <v>239</v>
      </c>
      <c r="L339" t="s">
        <v>240</v>
      </c>
    </row>
    <row r="340" spans="1:12" x14ac:dyDescent="0.3">
      <c r="A340" s="57" t="s">
        <v>603</v>
      </c>
      <c r="B340" s="57" t="s">
        <v>273</v>
      </c>
      <c r="C340" s="57" t="s">
        <v>237</v>
      </c>
      <c r="D340" s="57" t="s">
        <v>152</v>
      </c>
      <c r="E340" s="57" t="s">
        <v>142</v>
      </c>
      <c r="F340">
        <v>7</v>
      </c>
      <c r="G340">
        <v>7000</v>
      </c>
      <c r="H340" s="11">
        <v>45372</v>
      </c>
      <c r="I340" s="57" t="s">
        <v>95</v>
      </c>
      <c r="J340" s="57" t="s">
        <v>145</v>
      </c>
      <c r="K340" s="57" t="s">
        <v>197</v>
      </c>
      <c r="L340" t="s">
        <v>243</v>
      </c>
    </row>
    <row r="341" spans="1:12" x14ac:dyDescent="0.3">
      <c r="A341" s="57" t="s">
        <v>604</v>
      </c>
      <c r="B341" s="57" t="s">
        <v>262</v>
      </c>
      <c r="C341" s="57" t="s">
        <v>263</v>
      </c>
      <c r="D341" s="57" t="s">
        <v>151</v>
      </c>
      <c r="E341" s="57" t="s">
        <v>142</v>
      </c>
      <c r="F341">
        <v>5</v>
      </c>
      <c r="G341">
        <v>5900</v>
      </c>
      <c r="H341" s="11">
        <v>45055</v>
      </c>
      <c r="I341" s="57" t="s">
        <v>291</v>
      </c>
      <c r="J341" s="57" t="s">
        <v>248</v>
      </c>
      <c r="K341" s="57" t="s">
        <v>238</v>
      </c>
      <c r="L341" t="s">
        <v>240</v>
      </c>
    </row>
    <row r="342" spans="1:12" x14ac:dyDescent="0.3">
      <c r="A342" s="57" t="s">
        <v>605</v>
      </c>
      <c r="B342" s="57" t="s">
        <v>245</v>
      </c>
      <c r="C342" s="57" t="s">
        <v>237</v>
      </c>
      <c r="D342" s="57" t="s">
        <v>152</v>
      </c>
      <c r="E342" s="57" t="s">
        <v>142</v>
      </c>
      <c r="F342">
        <v>10</v>
      </c>
      <c r="G342">
        <v>7000</v>
      </c>
      <c r="H342" s="11">
        <v>45054</v>
      </c>
      <c r="I342" s="57" t="s">
        <v>291</v>
      </c>
      <c r="J342" s="57" t="s">
        <v>248</v>
      </c>
      <c r="K342" s="57" t="s">
        <v>197</v>
      </c>
      <c r="L342" t="s">
        <v>243</v>
      </c>
    </row>
    <row r="343" spans="1:12" x14ac:dyDescent="0.3">
      <c r="A343" s="57" t="s">
        <v>606</v>
      </c>
      <c r="B343" s="57" t="s">
        <v>236</v>
      </c>
      <c r="C343" s="57" t="s">
        <v>237</v>
      </c>
      <c r="D343" s="57" t="s">
        <v>153</v>
      </c>
      <c r="E343" s="57" t="s">
        <v>252</v>
      </c>
      <c r="F343">
        <v>4</v>
      </c>
      <c r="G343">
        <v>7000</v>
      </c>
      <c r="H343" s="11">
        <v>45501</v>
      </c>
      <c r="I343" s="57" t="s">
        <v>291</v>
      </c>
      <c r="J343" s="57" t="s">
        <v>150</v>
      </c>
      <c r="K343" s="57" t="s">
        <v>197</v>
      </c>
      <c r="L343" t="s">
        <v>243</v>
      </c>
    </row>
    <row r="344" spans="1:12" x14ac:dyDescent="0.3">
      <c r="A344" s="57" t="s">
        <v>607</v>
      </c>
      <c r="B344" s="57" t="s">
        <v>251</v>
      </c>
      <c r="C344" s="57" t="s">
        <v>237</v>
      </c>
      <c r="D344" s="57" t="s">
        <v>148</v>
      </c>
      <c r="E344" s="57" t="s">
        <v>256</v>
      </c>
      <c r="F344">
        <v>0</v>
      </c>
      <c r="G344">
        <v>2341</v>
      </c>
      <c r="H344" s="11">
        <v>45418</v>
      </c>
      <c r="I344" s="57" t="s">
        <v>266</v>
      </c>
      <c r="J344" s="57" t="s">
        <v>143</v>
      </c>
      <c r="K344" s="57" t="s">
        <v>253</v>
      </c>
      <c r="L344" t="s">
        <v>258</v>
      </c>
    </row>
    <row r="345" spans="1:12" x14ac:dyDescent="0.3">
      <c r="A345" s="57" t="s">
        <v>608</v>
      </c>
      <c r="B345" s="57" t="s">
        <v>245</v>
      </c>
      <c r="C345" s="57" t="s">
        <v>237</v>
      </c>
      <c r="D345" s="57" t="s">
        <v>153</v>
      </c>
      <c r="E345" s="57" t="s">
        <v>252</v>
      </c>
      <c r="F345">
        <v>5</v>
      </c>
      <c r="G345">
        <v>7000</v>
      </c>
      <c r="H345" s="11">
        <v>45269</v>
      </c>
      <c r="I345" s="57" t="s">
        <v>89</v>
      </c>
      <c r="J345" s="57" t="s">
        <v>248</v>
      </c>
      <c r="K345" s="57" t="s">
        <v>264</v>
      </c>
      <c r="L345" t="s">
        <v>243</v>
      </c>
    </row>
    <row r="346" spans="1:12" x14ac:dyDescent="0.3">
      <c r="A346" s="57" t="s">
        <v>609</v>
      </c>
      <c r="B346" s="57" t="s">
        <v>275</v>
      </c>
      <c r="C346" s="57" t="s">
        <v>276</v>
      </c>
      <c r="D346" s="57" t="s">
        <v>238</v>
      </c>
      <c r="E346" s="57" t="s">
        <v>142</v>
      </c>
      <c r="F346">
        <v>5</v>
      </c>
      <c r="G346">
        <v>1358</v>
      </c>
      <c r="H346" s="11">
        <v>45533</v>
      </c>
      <c r="I346" s="57" t="s">
        <v>266</v>
      </c>
      <c r="J346" s="57" t="s">
        <v>248</v>
      </c>
      <c r="K346" s="57" t="s">
        <v>197</v>
      </c>
      <c r="L346" t="s">
        <v>258</v>
      </c>
    </row>
    <row r="347" spans="1:12" x14ac:dyDescent="0.3">
      <c r="A347" s="57" t="s">
        <v>610</v>
      </c>
      <c r="B347" s="57" t="s">
        <v>273</v>
      </c>
      <c r="C347" s="57" t="s">
        <v>237</v>
      </c>
      <c r="D347" s="57" t="s">
        <v>148</v>
      </c>
      <c r="E347" s="57" t="s">
        <v>256</v>
      </c>
      <c r="F347">
        <v>10</v>
      </c>
      <c r="G347">
        <v>5900</v>
      </c>
      <c r="H347" s="11">
        <v>44969</v>
      </c>
      <c r="I347" s="57" t="s">
        <v>100</v>
      </c>
      <c r="J347" s="57" t="s">
        <v>143</v>
      </c>
      <c r="K347" s="57" t="s">
        <v>239</v>
      </c>
      <c r="L347" t="s">
        <v>240</v>
      </c>
    </row>
    <row r="348" spans="1:12" x14ac:dyDescent="0.3">
      <c r="A348" s="57" t="s">
        <v>611</v>
      </c>
      <c r="B348" s="57" t="s">
        <v>268</v>
      </c>
      <c r="C348" s="57" t="s">
        <v>269</v>
      </c>
      <c r="D348" s="57" t="s">
        <v>238</v>
      </c>
      <c r="E348" s="57" t="s">
        <v>252</v>
      </c>
      <c r="F348">
        <v>10</v>
      </c>
      <c r="G348">
        <v>4515</v>
      </c>
      <c r="H348" s="11">
        <v>45126</v>
      </c>
      <c r="I348" s="57" t="s">
        <v>89</v>
      </c>
      <c r="J348" s="57" t="s">
        <v>248</v>
      </c>
      <c r="K348" s="57" t="s">
        <v>264</v>
      </c>
      <c r="L348" t="s">
        <v>240</v>
      </c>
    </row>
    <row r="349" spans="1:12" x14ac:dyDescent="0.3">
      <c r="A349" s="57" t="s">
        <v>612</v>
      </c>
      <c r="B349" s="57" t="s">
        <v>255</v>
      </c>
      <c r="C349" s="57" t="s">
        <v>237</v>
      </c>
      <c r="D349" s="57" t="s">
        <v>146</v>
      </c>
      <c r="E349" s="57" t="s">
        <v>142</v>
      </c>
      <c r="F349">
        <v>7</v>
      </c>
      <c r="G349">
        <v>3387</v>
      </c>
      <c r="H349" s="11">
        <v>45409</v>
      </c>
      <c r="I349" s="57" t="s">
        <v>291</v>
      </c>
      <c r="J349" s="57" t="s">
        <v>248</v>
      </c>
      <c r="K349" s="57" t="s">
        <v>197</v>
      </c>
      <c r="L349" t="s">
        <v>258</v>
      </c>
    </row>
    <row r="350" spans="1:12" x14ac:dyDescent="0.3">
      <c r="A350" s="57" t="s">
        <v>613</v>
      </c>
      <c r="B350" s="57" t="s">
        <v>262</v>
      </c>
      <c r="C350" s="57" t="s">
        <v>263</v>
      </c>
      <c r="D350" s="57" t="s">
        <v>238</v>
      </c>
      <c r="E350" s="57" t="s">
        <v>256</v>
      </c>
      <c r="F350">
        <v>0</v>
      </c>
      <c r="G350">
        <v>7000</v>
      </c>
      <c r="H350" s="11">
        <v>45615</v>
      </c>
      <c r="I350" s="57" t="s">
        <v>95</v>
      </c>
      <c r="J350" s="57" t="s">
        <v>147</v>
      </c>
      <c r="K350" s="57" t="s">
        <v>197</v>
      </c>
      <c r="L350" t="s">
        <v>243</v>
      </c>
    </row>
    <row r="351" spans="1:12" x14ac:dyDescent="0.3">
      <c r="A351" s="57" t="s">
        <v>614</v>
      </c>
      <c r="B351" s="57" t="s">
        <v>245</v>
      </c>
      <c r="C351" s="57" t="s">
        <v>237</v>
      </c>
      <c r="D351" s="57" t="s">
        <v>141</v>
      </c>
      <c r="E351" s="57" t="s">
        <v>260</v>
      </c>
      <c r="F351">
        <v>10</v>
      </c>
      <c r="G351">
        <v>7000</v>
      </c>
      <c r="H351" s="11">
        <v>45422</v>
      </c>
      <c r="I351" s="57" t="s">
        <v>242</v>
      </c>
      <c r="J351" s="57" t="s">
        <v>143</v>
      </c>
      <c r="K351" s="57" t="s">
        <v>197</v>
      </c>
      <c r="L351" t="s">
        <v>243</v>
      </c>
    </row>
    <row r="352" spans="1:12" x14ac:dyDescent="0.3">
      <c r="A352" s="57" t="s">
        <v>615</v>
      </c>
      <c r="B352" s="57" t="s">
        <v>268</v>
      </c>
      <c r="C352" s="57" t="s">
        <v>269</v>
      </c>
      <c r="D352" s="57" t="s">
        <v>141</v>
      </c>
      <c r="E352" s="57" t="s">
        <v>252</v>
      </c>
      <c r="F352">
        <v>7</v>
      </c>
      <c r="G352">
        <v>909</v>
      </c>
      <c r="H352" s="11">
        <v>45047</v>
      </c>
      <c r="I352" s="57" t="s">
        <v>92</v>
      </c>
      <c r="J352" s="57" t="s">
        <v>145</v>
      </c>
      <c r="K352" s="57" t="s">
        <v>197</v>
      </c>
      <c r="L352" t="s">
        <v>302</v>
      </c>
    </row>
    <row r="353" spans="1:12" x14ac:dyDescent="0.3">
      <c r="A353" s="57" t="s">
        <v>616</v>
      </c>
      <c r="B353" s="57" t="s">
        <v>262</v>
      </c>
      <c r="C353" s="57" t="s">
        <v>263</v>
      </c>
      <c r="D353" s="57" t="s">
        <v>144</v>
      </c>
      <c r="E353" s="57" t="s">
        <v>149</v>
      </c>
      <c r="F353">
        <v>0</v>
      </c>
      <c r="G353">
        <v>5900</v>
      </c>
      <c r="H353" s="11">
        <v>45044</v>
      </c>
      <c r="I353" s="57" t="s">
        <v>89</v>
      </c>
      <c r="J353" s="57" t="s">
        <v>145</v>
      </c>
      <c r="K353" s="57" t="s">
        <v>253</v>
      </c>
      <c r="L353" t="s">
        <v>240</v>
      </c>
    </row>
    <row r="354" spans="1:12" x14ac:dyDescent="0.3">
      <c r="A354" s="57" t="s">
        <v>617</v>
      </c>
      <c r="B354" s="57" t="s">
        <v>255</v>
      </c>
      <c r="C354" s="57" t="s">
        <v>237</v>
      </c>
      <c r="D354" s="57" t="s">
        <v>238</v>
      </c>
      <c r="E354" s="57" t="s">
        <v>260</v>
      </c>
      <c r="F354">
        <v>9</v>
      </c>
      <c r="G354">
        <v>7000</v>
      </c>
      <c r="H354" s="11">
        <v>45600</v>
      </c>
      <c r="I354" s="57" t="s">
        <v>242</v>
      </c>
      <c r="J354" s="57" t="s">
        <v>248</v>
      </c>
      <c r="K354" s="57" t="s">
        <v>249</v>
      </c>
      <c r="L354" t="s">
        <v>243</v>
      </c>
    </row>
    <row r="355" spans="1:12" x14ac:dyDescent="0.3">
      <c r="A355" s="57" t="s">
        <v>618</v>
      </c>
      <c r="B355" s="57" t="s">
        <v>245</v>
      </c>
      <c r="C355" s="57" t="s">
        <v>237</v>
      </c>
      <c r="D355" s="57" t="s">
        <v>238</v>
      </c>
      <c r="E355" s="57" t="s">
        <v>256</v>
      </c>
      <c r="F355">
        <v>5</v>
      </c>
      <c r="G355">
        <v>7000</v>
      </c>
      <c r="H355" s="11">
        <v>45045</v>
      </c>
      <c r="I355" s="57" t="s">
        <v>95</v>
      </c>
      <c r="J355" s="57" t="s">
        <v>248</v>
      </c>
      <c r="K355" s="57" t="s">
        <v>197</v>
      </c>
      <c r="L355" t="s">
        <v>243</v>
      </c>
    </row>
    <row r="356" spans="1:12" x14ac:dyDescent="0.3">
      <c r="A356" s="57" t="s">
        <v>619</v>
      </c>
      <c r="B356" s="57" t="s">
        <v>236</v>
      </c>
      <c r="C356" s="57" t="s">
        <v>237</v>
      </c>
      <c r="D356" s="57" t="s">
        <v>238</v>
      </c>
      <c r="E356" s="57" t="s">
        <v>256</v>
      </c>
      <c r="F356">
        <v>5</v>
      </c>
      <c r="G356">
        <v>5900</v>
      </c>
      <c r="H356" s="11">
        <v>45011</v>
      </c>
      <c r="I356" s="57" t="s">
        <v>100</v>
      </c>
      <c r="J356" s="57" t="s">
        <v>145</v>
      </c>
      <c r="K356" s="57" t="s">
        <v>238</v>
      </c>
      <c r="L356" t="s">
        <v>240</v>
      </c>
    </row>
    <row r="357" spans="1:12" x14ac:dyDescent="0.3">
      <c r="A357" s="57" t="s">
        <v>620</v>
      </c>
      <c r="B357" s="57" t="s">
        <v>245</v>
      </c>
      <c r="C357" s="57" t="s">
        <v>237</v>
      </c>
      <c r="D357" s="57" t="s">
        <v>146</v>
      </c>
      <c r="E357" s="57" t="s">
        <v>149</v>
      </c>
      <c r="F357">
        <v>10</v>
      </c>
      <c r="G357">
        <v>7000</v>
      </c>
      <c r="H357" s="11">
        <v>45625</v>
      </c>
      <c r="I357" s="57" t="s">
        <v>95</v>
      </c>
      <c r="J357" s="57" t="s">
        <v>147</v>
      </c>
      <c r="K357" s="57" t="s">
        <v>239</v>
      </c>
      <c r="L357" t="s">
        <v>243</v>
      </c>
    </row>
    <row r="358" spans="1:12" x14ac:dyDescent="0.3">
      <c r="A358" s="57" t="s">
        <v>621</v>
      </c>
      <c r="B358" s="57" t="s">
        <v>273</v>
      </c>
      <c r="C358" s="57" t="s">
        <v>237</v>
      </c>
      <c r="D358" s="57" t="s">
        <v>144</v>
      </c>
      <c r="E358" s="57" t="s">
        <v>256</v>
      </c>
      <c r="F358">
        <v>1</v>
      </c>
      <c r="G358">
        <v>7000</v>
      </c>
      <c r="H358" s="11">
        <v>45391</v>
      </c>
      <c r="I358" s="57" t="s">
        <v>92</v>
      </c>
      <c r="J358" s="57" t="s">
        <v>145</v>
      </c>
      <c r="K358" s="57" t="s">
        <v>197</v>
      </c>
      <c r="L358" t="s">
        <v>243</v>
      </c>
    </row>
    <row r="359" spans="1:12" x14ac:dyDescent="0.3">
      <c r="A359" s="57" t="s">
        <v>622</v>
      </c>
      <c r="B359" s="57" t="s">
        <v>245</v>
      </c>
      <c r="C359" s="57" t="s">
        <v>237</v>
      </c>
      <c r="D359" s="57" t="s">
        <v>152</v>
      </c>
      <c r="E359" s="57" t="s">
        <v>252</v>
      </c>
      <c r="F359">
        <v>10</v>
      </c>
      <c r="G359">
        <v>7000</v>
      </c>
      <c r="H359" s="11">
        <v>45001</v>
      </c>
      <c r="I359" s="57" t="s">
        <v>92</v>
      </c>
      <c r="J359" s="57" t="s">
        <v>248</v>
      </c>
      <c r="K359" s="57" t="s">
        <v>239</v>
      </c>
      <c r="L359" t="s">
        <v>243</v>
      </c>
    </row>
    <row r="360" spans="1:12" x14ac:dyDescent="0.3">
      <c r="A360" s="57" t="s">
        <v>623</v>
      </c>
      <c r="B360" s="57" t="s">
        <v>273</v>
      </c>
      <c r="C360" s="57" t="s">
        <v>237</v>
      </c>
      <c r="D360" s="57" t="s">
        <v>238</v>
      </c>
      <c r="E360" s="57" t="s">
        <v>252</v>
      </c>
      <c r="F360">
        <v>5</v>
      </c>
      <c r="G360">
        <v>5900</v>
      </c>
      <c r="H360" s="11">
        <v>45258</v>
      </c>
      <c r="I360" s="57" t="s">
        <v>257</v>
      </c>
      <c r="J360" s="57" t="s">
        <v>145</v>
      </c>
      <c r="K360" s="57" t="s">
        <v>239</v>
      </c>
      <c r="L360" t="s">
        <v>240</v>
      </c>
    </row>
    <row r="361" spans="1:12" x14ac:dyDescent="0.3">
      <c r="A361" s="57" t="s">
        <v>624</v>
      </c>
      <c r="B361" s="57" t="s">
        <v>247</v>
      </c>
      <c r="C361" s="57" t="s">
        <v>237</v>
      </c>
      <c r="D361" s="57" t="s">
        <v>151</v>
      </c>
      <c r="E361" s="57" t="s">
        <v>142</v>
      </c>
      <c r="F361">
        <v>0</v>
      </c>
      <c r="G361">
        <v>5900</v>
      </c>
      <c r="H361" s="11">
        <v>45184</v>
      </c>
      <c r="I361" s="57" t="s">
        <v>257</v>
      </c>
      <c r="J361" s="57" t="s">
        <v>248</v>
      </c>
      <c r="K361" s="57" t="s">
        <v>239</v>
      </c>
      <c r="L361" t="s">
        <v>240</v>
      </c>
    </row>
    <row r="362" spans="1:12" x14ac:dyDescent="0.3">
      <c r="A362" s="57" t="s">
        <v>625</v>
      </c>
      <c r="B362" s="57" t="s">
        <v>195</v>
      </c>
      <c r="C362" s="57" t="s">
        <v>196</v>
      </c>
      <c r="D362" s="57" t="s">
        <v>146</v>
      </c>
      <c r="E362" s="57" t="s">
        <v>149</v>
      </c>
      <c r="F362">
        <v>5</v>
      </c>
      <c r="G362">
        <v>7000</v>
      </c>
      <c r="H362" s="11">
        <v>45098</v>
      </c>
      <c r="I362" s="57" t="s">
        <v>95</v>
      </c>
      <c r="J362" s="57" t="s">
        <v>248</v>
      </c>
      <c r="K362" s="57" t="s">
        <v>197</v>
      </c>
      <c r="L362" t="s">
        <v>243</v>
      </c>
    </row>
    <row r="363" spans="1:12" x14ac:dyDescent="0.3">
      <c r="A363" s="57" t="s">
        <v>626</v>
      </c>
      <c r="B363" s="57" t="s">
        <v>195</v>
      </c>
      <c r="C363" s="57" t="s">
        <v>196</v>
      </c>
      <c r="D363" s="57" t="s">
        <v>238</v>
      </c>
      <c r="E363" s="57" t="s">
        <v>256</v>
      </c>
      <c r="F363">
        <v>5</v>
      </c>
      <c r="G363">
        <v>598</v>
      </c>
      <c r="H363" s="11">
        <v>45143</v>
      </c>
      <c r="I363" s="57" t="s">
        <v>257</v>
      </c>
      <c r="J363" s="57" t="s">
        <v>145</v>
      </c>
      <c r="K363" s="57" t="s">
        <v>239</v>
      </c>
      <c r="L363" t="s">
        <v>302</v>
      </c>
    </row>
    <row r="364" spans="1:12" x14ac:dyDescent="0.3">
      <c r="A364" s="57" t="s">
        <v>627</v>
      </c>
      <c r="B364" s="57" t="s">
        <v>268</v>
      </c>
      <c r="C364" s="57" t="s">
        <v>269</v>
      </c>
      <c r="D364" s="57" t="s">
        <v>141</v>
      </c>
      <c r="E364" s="57" t="s">
        <v>142</v>
      </c>
      <c r="F364">
        <v>5</v>
      </c>
      <c r="G364">
        <v>1041</v>
      </c>
      <c r="H364" s="11">
        <v>45320</v>
      </c>
      <c r="I364" s="57" t="s">
        <v>100</v>
      </c>
      <c r="J364" s="57" t="s">
        <v>147</v>
      </c>
      <c r="K364" s="57" t="s">
        <v>264</v>
      </c>
      <c r="L364" t="s">
        <v>258</v>
      </c>
    </row>
    <row r="365" spans="1:12" x14ac:dyDescent="0.3">
      <c r="A365" s="57" t="s">
        <v>628</v>
      </c>
      <c r="B365" s="57" t="s">
        <v>255</v>
      </c>
      <c r="C365" s="57" t="s">
        <v>237</v>
      </c>
      <c r="D365" s="57" t="s">
        <v>144</v>
      </c>
      <c r="E365" s="57" t="s">
        <v>256</v>
      </c>
      <c r="F365">
        <v>0</v>
      </c>
      <c r="G365">
        <v>5900</v>
      </c>
      <c r="H365" s="11">
        <v>45603</v>
      </c>
      <c r="I365" s="57" t="s">
        <v>257</v>
      </c>
      <c r="J365" s="57" t="s">
        <v>248</v>
      </c>
      <c r="K365" s="57" t="s">
        <v>197</v>
      </c>
      <c r="L365" t="s">
        <v>240</v>
      </c>
    </row>
    <row r="366" spans="1:12" x14ac:dyDescent="0.3">
      <c r="A366" s="57" t="s">
        <v>629</v>
      </c>
      <c r="B366" s="57" t="s">
        <v>251</v>
      </c>
      <c r="C366" s="57" t="s">
        <v>237</v>
      </c>
      <c r="D366" s="57" t="s">
        <v>151</v>
      </c>
      <c r="E366" s="57" t="s">
        <v>256</v>
      </c>
      <c r="F366">
        <v>7</v>
      </c>
      <c r="G366">
        <v>820</v>
      </c>
      <c r="H366" s="11">
        <v>45256</v>
      </c>
      <c r="I366" s="57" t="s">
        <v>291</v>
      </c>
      <c r="J366" s="57" t="s">
        <v>143</v>
      </c>
      <c r="K366" s="57" t="s">
        <v>264</v>
      </c>
      <c r="L366" t="s">
        <v>302</v>
      </c>
    </row>
    <row r="367" spans="1:12" x14ac:dyDescent="0.3">
      <c r="A367" s="57" t="s">
        <v>630</v>
      </c>
      <c r="B367" s="57" t="s">
        <v>236</v>
      </c>
      <c r="C367" s="57" t="s">
        <v>237</v>
      </c>
      <c r="D367" s="57" t="s">
        <v>238</v>
      </c>
      <c r="E367" s="57" t="s">
        <v>256</v>
      </c>
      <c r="F367">
        <v>0</v>
      </c>
      <c r="G367">
        <v>7000</v>
      </c>
      <c r="H367" s="11">
        <v>45480</v>
      </c>
      <c r="I367" s="57" t="s">
        <v>291</v>
      </c>
      <c r="J367" s="57" t="s">
        <v>143</v>
      </c>
      <c r="K367" s="57" t="s">
        <v>238</v>
      </c>
      <c r="L367" t="s">
        <v>243</v>
      </c>
    </row>
    <row r="368" spans="1:12" x14ac:dyDescent="0.3">
      <c r="A368" s="57" t="s">
        <v>631</v>
      </c>
      <c r="B368" s="57" t="s">
        <v>255</v>
      </c>
      <c r="C368" s="57" t="s">
        <v>237</v>
      </c>
      <c r="D368" s="57" t="s">
        <v>151</v>
      </c>
      <c r="E368" s="57" t="s">
        <v>256</v>
      </c>
      <c r="F368">
        <v>7</v>
      </c>
      <c r="G368">
        <v>5900</v>
      </c>
      <c r="H368" s="11">
        <v>45292</v>
      </c>
      <c r="I368" s="57" t="s">
        <v>100</v>
      </c>
      <c r="J368" s="57" t="s">
        <v>145</v>
      </c>
      <c r="K368" s="57" t="s">
        <v>238</v>
      </c>
      <c r="L368" t="s">
        <v>240</v>
      </c>
    </row>
    <row r="369" spans="1:12" x14ac:dyDescent="0.3">
      <c r="A369" s="57" t="s">
        <v>632</v>
      </c>
      <c r="B369" s="57" t="s">
        <v>236</v>
      </c>
      <c r="C369" s="57" t="s">
        <v>237</v>
      </c>
      <c r="D369" s="57" t="s">
        <v>146</v>
      </c>
      <c r="E369" s="57" t="s">
        <v>256</v>
      </c>
      <c r="F369">
        <v>7</v>
      </c>
      <c r="G369">
        <v>4338</v>
      </c>
      <c r="H369" s="11">
        <v>45099</v>
      </c>
      <c r="I369" s="57" t="s">
        <v>100</v>
      </c>
      <c r="J369" s="57" t="s">
        <v>147</v>
      </c>
      <c r="K369" s="57" t="s">
        <v>249</v>
      </c>
      <c r="L369" t="s">
        <v>240</v>
      </c>
    </row>
    <row r="370" spans="1:12" x14ac:dyDescent="0.3">
      <c r="A370" s="57" t="s">
        <v>633</v>
      </c>
      <c r="B370" s="57" t="s">
        <v>273</v>
      </c>
      <c r="C370" s="57" t="s">
        <v>237</v>
      </c>
      <c r="D370" s="57" t="s">
        <v>153</v>
      </c>
      <c r="E370" s="57" t="s">
        <v>260</v>
      </c>
      <c r="F370">
        <v>9</v>
      </c>
      <c r="G370">
        <v>7000</v>
      </c>
      <c r="H370" s="11">
        <v>45374</v>
      </c>
      <c r="I370" s="57" t="s">
        <v>95</v>
      </c>
      <c r="J370" s="57" t="s">
        <v>147</v>
      </c>
      <c r="K370" s="57" t="s">
        <v>197</v>
      </c>
      <c r="L370" t="s">
        <v>243</v>
      </c>
    </row>
    <row r="371" spans="1:12" x14ac:dyDescent="0.3">
      <c r="A371" s="57" t="s">
        <v>634</v>
      </c>
      <c r="B371" s="57" t="s">
        <v>255</v>
      </c>
      <c r="C371" s="57" t="s">
        <v>237</v>
      </c>
      <c r="D371" s="57" t="s">
        <v>148</v>
      </c>
      <c r="E371" s="57" t="s">
        <v>260</v>
      </c>
      <c r="F371">
        <v>5</v>
      </c>
      <c r="G371">
        <v>7000</v>
      </c>
      <c r="H371" s="11">
        <v>45619</v>
      </c>
      <c r="I371" s="57" t="s">
        <v>291</v>
      </c>
      <c r="J371" s="57" t="s">
        <v>147</v>
      </c>
      <c r="K371" s="57" t="s">
        <v>238</v>
      </c>
      <c r="L371" t="s">
        <v>243</v>
      </c>
    </row>
    <row r="372" spans="1:12" x14ac:dyDescent="0.3">
      <c r="A372" s="57" t="s">
        <v>635</v>
      </c>
      <c r="B372" s="57" t="s">
        <v>251</v>
      </c>
      <c r="C372" s="57" t="s">
        <v>237</v>
      </c>
      <c r="D372" s="57" t="s">
        <v>238</v>
      </c>
      <c r="E372" s="57" t="s">
        <v>256</v>
      </c>
      <c r="F372">
        <v>10</v>
      </c>
      <c r="G372">
        <v>7000</v>
      </c>
      <c r="H372" s="11">
        <v>44965</v>
      </c>
      <c r="I372" s="57" t="s">
        <v>266</v>
      </c>
      <c r="J372" s="57" t="s">
        <v>150</v>
      </c>
      <c r="K372" s="57" t="s">
        <v>239</v>
      </c>
      <c r="L372" t="s">
        <v>243</v>
      </c>
    </row>
    <row r="373" spans="1:12" x14ac:dyDescent="0.3">
      <c r="A373" s="57" t="s">
        <v>636</v>
      </c>
      <c r="B373" s="57" t="s">
        <v>247</v>
      </c>
      <c r="C373" s="57" t="s">
        <v>237</v>
      </c>
      <c r="D373" s="57" t="s">
        <v>151</v>
      </c>
      <c r="E373" s="57" t="s">
        <v>260</v>
      </c>
      <c r="F373">
        <v>0</v>
      </c>
      <c r="G373">
        <v>7000</v>
      </c>
      <c r="H373" s="11">
        <v>45144</v>
      </c>
      <c r="I373" s="57" t="s">
        <v>92</v>
      </c>
      <c r="J373" s="57" t="s">
        <v>150</v>
      </c>
      <c r="K373" s="57" t="s">
        <v>253</v>
      </c>
      <c r="L373" t="s">
        <v>243</v>
      </c>
    </row>
    <row r="374" spans="1:12" x14ac:dyDescent="0.3">
      <c r="A374" s="57" t="s">
        <v>637</v>
      </c>
      <c r="B374" s="57" t="s">
        <v>195</v>
      </c>
      <c r="C374" s="57" t="s">
        <v>196</v>
      </c>
      <c r="D374" s="57" t="s">
        <v>146</v>
      </c>
      <c r="E374" s="57" t="s">
        <v>149</v>
      </c>
      <c r="F374">
        <v>0</v>
      </c>
      <c r="G374">
        <v>5900</v>
      </c>
      <c r="H374" s="11">
        <v>45246</v>
      </c>
      <c r="I374" s="57" t="s">
        <v>257</v>
      </c>
      <c r="J374" s="57" t="s">
        <v>143</v>
      </c>
      <c r="K374" s="57" t="s">
        <v>239</v>
      </c>
      <c r="L374" t="s">
        <v>240</v>
      </c>
    </row>
    <row r="375" spans="1:12" x14ac:dyDescent="0.3">
      <c r="A375" s="57" t="s">
        <v>638</v>
      </c>
      <c r="B375" s="57" t="s">
        <v>247</v>
      </c>
      <c r="C375" s="57" t="s">
        <v>237</v>
      </c>
      <c r="D375" s="57" t="s">
        <v>238</v>
      </c>
      <c r="E375" s="57" t="s">
        <v>142</v>
      </c>
      <c r="F375">
        <v>10</v>
      </c>
      <c r="G375">
        <v>7000</v>
      </c>
      <c r="H375" s="11">
        <v>45475</v>
      </c>
      <c r="I375" s="57" t="s">
        <v>266</v>
      </c>
      <c r="J375" s="57" t="s">
        <v>143</v>
      </c>
      <c r="K375" s="57" t="s">
        <v>253</v>
      </c>
      <c r="L375" t="s">
        <v>243</v>
      </c>
    </row>
    <row r="376" spans="1:12" x14ac:dyDescent="0.3">
      <c r="A376" s="57" t="s">
        <v>639</v>
      </c>
      <c r="B376" s="57" t="s">
        <v>273</v>
      </c>
      <c r="C376" s="57" t="s">
        <v>237</v>
      </c>
      <c r="D376" s="57" t="s">
        <v>153</v>
      </c>
      <c r="E376" s="57" t="s">
        <v>256</v>
      </c>
      <c r="F376">
        <v>2</v>
      </c>
      <c r="G376">
        <v>5900</v>
      </c>
      <c r="H376" s="11">
        <v>44993</v>
      </c>
      <c r="I376" s="57" t="s">
        <v>242</v>
      </c>
      <c r="J376" s="57" t="s">
        <v>147</v>
      </c>
      <c r="K376" s="57" t="s">
        <v>249</v>
      </c>
      <c r="L376" t="s">
        <v>240</v>
      </c>
    </row>
    <row r="377" spans="1:12" x14ac:dyDescent="0.3">
      <c r="A377" s="57" t="s">
        <v>640</v>
      </c>
      <c r="B377" s="57" t="s">
        <v>262</v>
      </c>
      <c r="C377" s="57" t="s">
        <v>263</v>
      </c>
      <c r="D377" s="57" t="s">
        <v>144</v>
      </c>
      <c r="E377" s="57" t="s">
        <v>149</v>
      </c>
      <c r="F377">
        <v>0</v>
      </c>
      <c r="G377">
        <v>7000</v>
      </c>
      <c r="H377" s="11">
        <v>45054</v>
      </c>
      <c r="I377" s="57" t="s">
        <v>89</v>
      </c>
      <c r="J377" s="57" t="s">
        <v>147</v>
      </c>
      <c r="K377" s="57" t="s">
        <v>239</v>
      </c>
      <c r="L377" t="s">
        <v>243</v>
      </c>
    </row>
    <row r="378" spans="1:12" x14ac:dyDescent="0.3">
      <c r="A378" s="57" t="s">
        <v>641</v>
      </c>
      <c r="B378" s="57" t="s">
        <v>275</v>
      </c>
      <c r="C378" s="57" t="s">
        <v>276</v>
      </c>
      <c r="D378" s="57" t="s">
        <v>153</v>
      </c>
      <c r="E378" s="57" t="s">
        <v>252</v>
      </c>
      <c r="F378">
        <v>10</v>
      </c>
      <c r="G378">
        <v>4034</v>
      </c>
      <c r="H378" s="11">
        <v>45357</v>
      </c>
      <c r="I378" s="57" t="s">
        <v>89</v>
      </c>
      <c r="J378" s="57" t="s">
        <v>147</v>
      </c>
      <c r="K378" s="57" t="s">
        <v>239</v>
      </c>
      <c r="L378" t="s">
        <v>240</v>
      </c>
    </row>
    <row r="379" spans="1:12" x14ac:dyDescent="0.3">
      <c r="A379" s="57" t="s">
        <v>642</v>
      </c>
      <c r="B379" s="57" t="s">
        <v>275</v>
      </c>
      <c r="C379" s="57" t="s">
        <v>276</v>
      </c>
      <c r="D379" s="57" t="s">
        <v>152</v>
      </c>
      <c r="E379" s="57" t="s">
        <v>149</v>
      </c>
      <c r="F379">
        <v>8</v>
      </c>
      <c r="G379">
        <v>1143</v>
      </c>
      <c r="H379" s="11">
        <v>45622</v>
      </c>
      <c r="I379" s="57" t="s">
        <v>92</v>
      </c>
      <c r="J379" s="57" t="s">
        <v>145</v>
      </c>
      <c r="K379" s="57" t="s">
        <v>264</v>
      </c>
      <c r="L379" t="s">
        <v>258</v>
      </c>
    </row>
    <row r="380" spans="1:12" x14ac:dyDescent="0.3">
      <c r="A380" s="57" t="s">
        <v>643</v>
      </c>
      <c r="B380" s="57" t="s">
        <v>245</v>
      </c>
      <c r="C380" s="57" t="s">
        <v>237</v>
      </c>
      <c r="D380" s="57" t="s">
        <v>141</v>
      </c>
      <c r="E380" s="57" t="s">
        <v>252</v>
      </c>
      <c r="F380">
        <v>10</v>
      </c>
      <c r="G380">
        <v>1938</v>
      </c>
      <c r="H380" s="11">
        <v>45314</v>
      </c>
      <c r="I380" s="57" t="s">
        <v>266</v>
      </c>
      <c r="J380" s="57" t="s">
        <v>248</v>
      </c>
      <c r="K380" s="57" t="s">
        <v>197</v>
      </c>
      <c r="L380" t="s">
        <v>258</v>
      </c>
    </row>
    <row r="381" spans="1:12" x14ac:dyDescent="0.3">
      <c r="A381" s="57" t="s">
        <v>644</v>
      </c>
      <c r="B381" s="57" t="s">
        <v>245</v>
      </c>
      <c r="C381" s="57" t="s">
        <v>237</v>
      </c>
      <c r="D381" s="57" t="s">
        <v>141</v>
      </c>
      <c r="E381" s="57" t="s">
        <v>149</v>
      </c>
      <c r="F381">
        <v>7</v>
      </c>
      <c r="G381">
        <v>5900</v>
      </c>
      <c r="H381" s="11">
        <v>45081</v>
      </c>
      <c r="I381" s="57" t="s">
        <v>100</v>
      </c>
      <c r="J381" s="57" t="s">
        <v>145</v>
      </c>
      <c r="K381" s="57" t="s">
        <v>239</v>
      </c>
      <c r="L381" t="s">
        <v>240</v>
      </c>
    </row>
    <row r="382" spans="1:12" x14ac:dyDescent="0.3">
      <c r="A382" s="57" t="s">
        <v>645</v>
      </c>
      <c r="B382" s="57" t="s">
        <v>195</v>
      </c>
      <c r="C382" s="57" t="s">
        <v>196</v>
      </c>
      <c r="D382" s="57" t="s">
        <v>153</v>
      </c>
      <c r="E382" s="57" t="s">
        <v>256</v>
      </c>
      <c r="F382">
        <v>0</v>
      </c>
      <c r="G382">
        <v>7000</v>
      </c>
      <c r="H382" s="11">
        <v>44993</v>
      </c>
      <c r="I382" s="57" t="s">
        <v>257</v>
      </c>
      <c r="J382" s="57" t="s">
        <v>147</v>
      </c>
      <c r="K382" s="57" t="s">
        <v>264</v>
      </c>
      <c r="L382" t="s">
        <v>243</v>
      </c>
    </row>
    <row r="383" spans="1:12" x14ac:dyDescent="0.3">
      <c r="A383" s="57" t="s">
        <v>646</v>
      </c>
      <c r="B383" s="57" t="s">
        <v>195</v>
      </c>
      <c r="C383" s="57" t="s">
        <v>196</v>
      </c>
      <c r="D383" s="57" t="s">
        <v>238</v>
      </c>
      <c r="E383" s="57" t="s">
        <v>252</v>
      </c>
      <c r="F383">
        <v>8</v>
      </c>
      <c r="G383">
        <v>3677</v>
      </c>
      <c r="H383" s="11">
        <v>45615</v>
      </c>
      <c r="I383" s="57" t="s">
        <v>100</v>
      </c>
      <c r="J383" s="57" t="s">
        <v>248</v>
      </c>
      <c r="K383" s="57" t="s">
        <v>249</v>
      </c>
      <c r="L383" t="s">
        <v>258</v>
      </c>
    </row>
    <row r="384" spans="1:12" x14ac:dyDescent="0.3">
      <c r="A384" s="57" t="s">
        <v>647</v>
      </c>
      <c r="B384" s="57" t="s">
        <v>275</v>
      </c>
      <c r="C384" s="57" t="s">
        <v>276</v>
      </c>
      <c r="D384" s="57" t="s">
        <v>141</v>
      </c>
      <c r="E384" s="57" t="s">
        <v>149</v>
      </c>
      <c r="F384">
        <v>10</v>
      </c>
      <c r="G384">
        <v>7000</v>
      </c>
      <c r="H384" s="11">
        <v>45069</v>
      </c>
      <c r="I384" s="57" t="s">
        <v>291</v>
      </c>
      <c r="J384" s="57" t="s">
        <v>143</v>
      </c>
      <c r="K384" s="57" t="s">
        <v>253</v>
      </c>
      <c r="L384" t="s">
        <v>243</v>
      </c>
    </row>
    <row r="385" spans="1:12" x14ac:dyDescent="0.3">
      <c r="A385" s="57" t="s">
        <v>648</v>
      </c>
      <c r="B385" s="57" t="s">
        <v>247</v>
      </c>
      <c r="C385" s="57" t="s">
        <v>237</v>
      </c>
      <c r="D385" s="57" t="s">
        <v>141</v>
      </c>
      <c r="E385" s="57" t="s">
        <v>142</v>
      </c>
      <c r="F385">
        <v>5</v>
      </c>
      <c r="G385">
        <v>7000</v>
      </c>
      <c r="H385" s="11">
        <v>45238</v>
      </c>
      <c r="I385" s="57" t="s">
        <v>242</v>
      </c>
      <c r="J385" s="57" t="s">
        <v>147</v>
      </c>
      <c r="K385" s="57" t="s">
        <v>238</v>
      </c>
      <c r="L385" t="s">
        <v>243</v>
      </c>
    </row>
    <row r="386" spans="1:12" x14ac:dyDescent="0.3">
      <c r="A386" s="57" t="s">
        <v>649</v>
      </c>
      <c r="B386" s="57" t="s">
        <v>275</v>
      </c>
      <c r="C386" s="57" t="s">
        <v>276</v>
      </c>
      <c r="D386" s="57" t="s">
        <v>141</v>
      </c>
      <c r="E386" s="57" t="s">
        <v>252</v>
      </c>
      <c r="F386">
        <v>10</v>
      </c>
      <c r="G386">
        <v>7000</v>
      </c>
      <c r="H386" s="11">
        <v>45407</v>
      </c>
      <c r="I386" s="57" t="s">
        <v>257</v>
      </c>
      <c r="J386" s="57" t="s">
        <v>145</v>
      </c>
      <c r="K386" s="57" t="s">
        <v>239</v>
      </c>
      <c r="L386" t="s">
        <v>243</v>
      </c>
    </row>
    <row r="387" spans="1:12" x14ac:dyDescent="0.3">
      <c r="A387" s="57" t="s">
        <v>650</v>
      </c>
      <c r="B387" s="57" t="s">
        <v>195</v>
      </c>
      <c r="C387" s="57" t="s">
        <v>196</v>
      </c>
      <c r="D387" s="57" t="s">
        <v>238</v>
      </c>
      <c r="E387" s="57" t="s">
        <v>260</v>
      </c>
      <c r="F387">
        <v>6</v>
      </c>
      <c r="G387">
        <v>5900</v>
      </c>
      <c r="H387" s="11">
        <v>45442</v>
      </c>
      <c r="I387" s="57" t="s">
        <v>95</v>
      </c>
      <c r="J387" s="57" t="s">
        <v>143</v>
      </c>
      <c r="K387" s="57" t="s">
        <v>264</v>
      </c>
      <c r="L387" t="s">
        <v>240</v>
      </c>
    </row>
    <row r="388" spans="1:12" x14ac:dyDescent="0.3">
      <c r="A388" s="57" t="s">
        <v>651</v>
      </c>
      <c r="B388" s="57" t="s">
        <v>268</v>
      </c>
      <c r="C388" s="57" t="s">
        <v>269</v>
      </c>
      <c r="D388" s="57" t="s">
        <v>238</v>
      </c>
      <c r="E388" s="57" t="s">
        <v>260</v>
      </c>
      <c r="F388">
        <v>10</v>
      </c>
      <c r="G388">
        <v>7000</v>
      </c>
      <c r="H388" s="11">
        <v>45269</v>
      </c>
      <c r="I388" s="57" t="s">
        <v>242</v>
      </c>
      <c r="J388" s="57" t="s">
        <v>147</v>
      </c>
      <c r="K388" s="57" t="s">
        <v>264</v>
      </c>
      <c r="L388" t="s">
        <v>243</v>
      </c>
    </row>
    <row r="389" spans="1:12" x14ac:dyDescent="0.3">
      <c r="A389" s="57" t="s">
        <v>652</v>
      </c>
      <c r="B389" s="57" t="s">
        <v>268</v>
      </c>
      <c r="C389" s="57" t="s">
        <v>269</v>
      </c>
      <c r="D389" s="57" t="s">
        <v>148</v>
      </c>
      <c r="E389" s="57" t="s">
        <v>260</v>
      </c>
      <c r="F389">
        <v>0</v>
      </c>
      <c r="G389">
        <v>5900</v>
      </c>
      <c r="H389" s="11">
        <v>45532</v>
      </c>
      <c r="I389" s="57" t="s">
        <v>266</v>
      </c>
      <c r="J389" s="57" t="s">
        <v>145</v>
      </c>
      <c r="K389" s="57" t="s">
        <v>249</v>
      </c>
      <c r="L389" t="s">
        <v>240</v>
      </c>
    </row>
    <row r="390" spans="1:12" x14ac:dyDescent="0.3">
      <c r="A390" s="57" t="s">
        <v>653</v>
      </c>
      <c r="B390" s="57" t="s">
        <v>268</v>
      </c>
      <c r="C390" s="57" t="s">
        <v>269</v>
      </c>
      <c r="D390" s="57" t="s">
        <v>153</v>
      </c>
      <c r="E390" s="57" t="s">
        <v>256</v>
      </c>
      <c r="F390">
        <v>10</v>
      </c>
      <c r="G390">
        <v>7000</v>
      </c>
      <c r="H390" s="11">
        <v>45208</v>
      </c>
      <c r="I390" s="57" t="s">
        <v>100</v>
      </c>
      <c r="J390" s="57" t="s">
        <v>147</v>
      </c>
      <c r="K390" s="57" t="s">
        <v>264</v>
      </c>
      <c r="L390" t="s">
        <v>243</v>
      </c>
    </row>
    <row r="391" spans="1:12" x14ac:dyDescent="0.3">
      <c r="A391" s="57" t="s">
        <v>654</v>
      </c>
      <c r="B391" s="57" t="s">
        <v>245</v>
      </c>
      <c r="C391" s="57" t="s">
        <v>237</v>
      </c>
      <c r="D391" s="57" t="s">
        <v>144</v>
      </c>
      <c r="E391" s="57" t="s">
        <v>252</v>
      </c>
      <c r="F391">
        <v>7</v>
      </c>
      <c r="G391">
        <v>5900</v>
      </c>
      <c r="H391" s="11">
        <v>45278</v>
      </c>
      <c r="I391" s="57" t="s">
        <v>100</v>
      </c>
      <c r="J391" s="57" t="s">
        <v>145</v>
      </c>
      <c r="K391" s="57" t="s">
        <v>239</v>
      </c>
      <c r="L391" t="s">
        <v>240</v>
      </c>
    </row>
    <row r="392" spans="1:12" x14ac:dyDescent="0.3">
      <c r="A392" s="57" t="s">
        <v>655</v>
      </c>
      <c r="B392" s="57" t="s">
        <v>247</v>
      </c>
      <c r="C392" s="57" t="s">
        <v>237</v>
      </c>
      <c r="D392" s="57" t="s">
        <v>144</v>
      </c>
      <c r="E392" s="57" t="s">
        <v>149</v>
      </c>
      <c r="F392">
        <v>0</v>
      </c>
      <c r="G392">
        <v>7000</v>
      </c>
      <c r="H392" s="11">
        <v>45359</v>
      </c>
      <c r="I392" s="57" t="s">
        <v>92</v>
      </c>
      <c r="J392" s="57" t="s">
        <v>147</v>
      </c>
      <c r="K392" s="57" t="s">
        <v>249</v>
      </c>
      <c r="L392" t="s">
        <v>243</v>
      </c>
    </row>
    <row r="393" spans="1:12" x14ac:dyDescent="0.3">
      <c r="A393" s="57" t="s">
        <v>656</v>
      </c>
      <c r="B393" s="57" t="s">
        <v>247</v>
      </c>
      <c r="C393" s="57" t="s">
        <v>237</v>
      </c>
      <c r="D393" s="57" t="s">
        <v>141</v>
      </c>
      <c r="E393" s="57" t="s">
        <v>252</v>
      </c>
      <c r="F393">
        <v>2</v>
      </c>
      <c r="G393">
        <v>5900</v>
      </c>
      <c r="H393" s="11">
        <v>45034</v>
      </c>
      <c r="I393" s="57" t="s">
        <v>95</v>
      </c>
      <c r="J393" s="57" t="s">
        <v>147</v>
      </c>
      <c r="K393" s="57" t="s">
        <v>253</v>
      </c>
      <c r="L393" t="s">
        <v>240</v>
      </c>
    </row>
    <row r="394" spans="1:12" x14ac:dyDescent="0.3">
      <c r="A394" s="57" t="s">
        <v>657</v>
      </c>
      <c r="B394" s="57" t="s">
        <v>268</v>
      </c>
      <c r="C394" s="57" t="s">
        <v>269</v>
      </c>
      <c r="D394" s="57" t="s">
        <v>238</v>
      </c>
      <c r="E394" s="57" t="s">
        <v>252</v>
      </c>
      <c r="F394">
        <v>7</v>
      </c>
      <c r="G394">
        <v>7000</v>
      </c>
      <c r="H394" s="11">
        <v>45080</v>
      </c>
      <c r="I394" s="57" t="s">
        <v>266</v>
      </c>
      <c r="J394" s="57" t="s">
        <v>248</v>
      </c>
      <c r="K394" s="57" t="s">
        <v>239</v>
      </c>
      <c r="L394" t="s">
        <v>243</v>
      </c>
    </row>
    <row r="395" spans="1:12" x14ac:dyDescent="0.3">
      <c r="A395" s="57" t="s">
        <v>658</v>
      </c>
      <c r="B395" s="57" t="s">
        <v>273</v>
      </c>
      <c r="C395" s="57" t="s">
        <v>237</v>
      </c>
      <c r="D395" s="57" t="s">
        <v>148</v>
      </c>
      <c r="E395" s="57" t="s">
        <v>142</v>
      </c>
      <c r="F395">
        <v>3</v>
      </c>
      <c r="G395">
        <v>7000</v>
      </c>
      <c r="H395" s="11">
        <v>45007</v>
      </c>
      <c r="I395" s="57" t="s">
        <v>89</v>
      </c>
      <c r="J395" s="57" t="s">
        <v>147</v>
      </c>
      <c r="K395" s="57" t="s">
        <v>239</v>
      </c>
      <c r="L395" t="s">
        <v>243</v>
      </c>
    </row>
    <row r="396" spans="1:12" x14ac:dyDescent="0.3">
      <c r="A396" s="57" t="s">
        <v>659</v>
      </c>
      <c r="B396" s="57" t="s">
        <v>247</v>
      </c>
      <c r="C396" s="57" t="s">
        <v>237</v>
      </c>
      <c r="D396" s="57" t="s">
        <v>238</v>
      </c>
      <c r="E396" s="57" t="s">
        <v>149</v>
      </c>
      <c r="F396">
        <v>7</v>
      </c>
      <c r="G396">
        <v>7000</v>
      </c>
      <c r="H396" s="11">
        <v>45295</v>
      </c>
      <c r="I396" s="57" t="s">
        <v>89</v>
      </c>
      <c r="J396" s="57" t="s">
        <v>143</v>
      </c>
      <c r="K396" s="57" t="s">
        <v>249</v>
      </c>
      <c r="L396" t="s">
        <v>243</v>
      </c>
    </row>
    <row r="397" spans="1:12" x14ac:dyDescent="0.3">
      <c r="A397" s="57" t="s">
        <v>660</v>
      </c>
      <c r="B397" s="57" t="s">
        <v>262</v>
      </c>
      <c r="C397" s="57" t="s">
        <v>263</v>
      </c>
      <c r="D397" s="57" t="s">
        <v>144</v>
      </c>
      <c r="E397" s="57" t="s">
        <v>260</v>
      </c>
      <c r="F397">
        <v>3</v>
      </c>
      <c r="G397">
        <v>7000</v>
      </c>
      <c r="H397" s="11">
        <v>45098</v>
      </c>
      <c r="I397" s="57" t="s">
        <v>92</v>
      </c>
      <c r="J397" s="57" t="s">
        <v>150</v>
      </c>
      <c r="K397" s="57" t="s">
        <v>249</v>
      </c>
      <c r="L397" t="s">
        <v>243</v>
      </c>
    </row>
    <row r="398" spans="1:12" x14ac:dyDescent="0.3">
      <c r="A398" s="57" t="s">
        <v>661</v>
      </c>
      <c r="B398" s="57" t="s">
        <v>251</v>
      </c>
      <c r="C398" s="57" t="s">
        <v>237</v>
      </c>
      <c r="D398" s="57" t="s">
        <v>153</v>
      </c>
      <c r="E398" s="57" t="s">
        <v>252</v>
      </c>
      <c r="F398">
        <v>5</v>
      </c>
      <c r="G398">
        <v>7000</v>
      </c>
      <c r="H398" s="11">
        <v>45592</v>
      </c>
      <c r="I398" s="57" t="s">
        <v>242</v>
      </c>
      <c r="J398" s="57" t="s">
        <v>248</v>
      </c>
      <c r="K398" s="57" t="s">
        <v>239</v>
      </c>
      <c r="L398" t="s">
        <v>243</v>
      </c>
    </row>
    <row r="399" spans="1:12" x14ac:dyDescent="0.3">
      <c r="A399" s="57" t="s">
        <v>662</v>
      </c>
      <c r="B399" s="57" t="s">
        <v>251</v>
      </c>
      <c r="C399" s="57" t="s">
        <v>237</v>
      </c>
      <c r="D399" s="57" t="s">
        <v>238</v>
      </c>
      <c r="E399" s="57" t="s">
        <v>149</v>
      </c>
      <c r="F399">
        <v>7</v>
      </c>
      <c r="G399">
        <v>7000</v>
      </c>
      <c r="H399" s="11">
        <v>45049</v>
      </c>
      <c r="I399" s="57" t="s">
        <v>242</v>
      </c>
      <c r="J399" s="57" t="s">
        <v>143</v>
      </c>
      <c r="K399" s="57" t="s">
        <v>249</v>
      </c>
      <c r="L399" t="s">
        <v>243</v>
      </c>
    </row>
    <row r="400" spans="1:12" x14ac:dyDescent="0.3">
      <c r="A400" s="57" t="s">
        <v>663</v>
      </c>
      <c r="B400" s="57" t="s">
        <v>251</v>
      </c>
      <c r="C400" s="57" t="s">
        <v>237</v>
      </c>
      <c r="D400" s="57" t="s">
        <v>151</v>
      </c>
      <c r="E400" s="57" t="s">
        <v>252</v>
      </c>
      <c r="F400">
        <v>5</v>
      </c>
      <c r="G400">
        <v>5900</v>
      </c>
      <c r="H400" s="11">
        <v>44942</v>
      </c>
      <c r="I400" s="57" t="s">
        <v>89</v>
      </c>
      <c r="J400" s="57" t="s">
        <v>145</v>
      </c>
      <c r="K400" s="57" t="s">
        <v>238</v>
      </c>
      <c r="L400" t="s">
        <v>240</v>
      </c>
    </row>
    <row r="401" spans="1:12" x14ac:dyDescent="0.3">
      <c r="A401" s="57" t="s">
        <v>664</v>
      </c>
      <c r="B401" s="57" t="s">
        <v>255</v>
      </c>
      <c r="C401" s="57" t="s">
        <v>237</v>
      </c>
      <c r="D401" s="57" t="s">
        <v>141</v>
      </c>
      <c r="E401" s="57" t="s">
        <v>260</v>
      </c>
      <c r="F401">
        <v>7</v>
      </c>
      <c r="G401">
        <v>5900</v>
      </c>
      <c r="H401" s="11">
        <v>45535</v>
      </c>
      <c r="I401" s="57" t="s">
        <v>89</v>
      </c>
      <c r="J401" s="57" t="s">
        <v>143</v>
      </c>
      <c r="K401" s="57" t="s">
        <v>238</v>
      </c>
      <c r="L401" t="s">
        <v>240</v>
      </c>
    </row>
    <row r="402" spans="1:12" x14ac:dyDescent="0.3">
      <c r="A402" s="57" t="s">
        <v>665</v>
      </c>
      <c r="B402" s="57" t="s">
        <v>195</v>
      </c>
      <c r="C402" s="57" t="s">
        <v>196</v>
      </c>
      <c r="D402" s="57" t="s">
        <v>148</v>
      </c>
      <c r="E402" s="57" t="s">
        <v>252</v>
      </c>
      <c r="F402">
        <v>5</v>
      </c>
      <c r="G402">
        <v>7000</v>
      </c>
      <c r="H402" s="11">
        <v>45617</v>
      </c>
      <c r="I402" s="57" t="s">
        <v>95</v>
      </c>
      <c r="J402" s="57" t="s">
        <v>248</v>
      </c>
      <c r="K402" s="57" t="s">
        <v>253</v>
      </c>
      <c r="L402" t="s">
        <v>243</v>
      </c>
    </row>
    <row r="403" spans="1:12" x14ac:dyDescent="0.3">
      <c r="A403" s="57" t="s">
        <v>666</v>
      </c>
      <c r="B403" s="57" t="s">
        <v>236</v>
      </c>
      <c r="C403" s="57" t="s">
        <v>237</v>
      </c>
      <c r="D403" s="57" t="s">
        <v>151</v>
      </c>
      <c r="E403" s="57" t="s">
        <v>142</v>
      </c>
      <c r="F403">
        <v>7</v>
      </c>
      <c r="G403">
        <v>7000</v>
      </c>
      <c r="H403" s="11">
        <v>45203</v>
      </c>
      <c r="I403" s="57" t="s">
        <v>92</v>
      </c>
      <c r="J403" s="57" t="s">
        <v>147</v>
      </c>
      <c r="K403" s="57" t="s">
        <v>239</v>
      </c>
      <c r="L403" t="s">
        <v>243</v>
      </c>
    </row>
    <row r="404" spans="1:12" x14ac:dyDescent="0.3">
      <c r="A404" s="57" t="s">
        <v>667</v>
      </c>
      <c r="B404" s="57" t="s">
        <v>195</v>
      </c>
      <c r="C404" s="57" t="s">
        <v>196</v>
      </c>
      <c r="D404" s="57" t="s">
        <v>238</v>
      </c>
      <c r="E404" s="57" t="s">
        <v>260</v>
      </c>
      <c r="F404">
        <v>10</v>
      </c>
      <c r="G404">
        <v>7000</v>
      </c>
      <c r="H404" s="11">
        <v>45397</v>
      </c>
      <c r="I404" s="57" t="s">
        <v>100</v>
      </c>
      <c r="J404" s="57" t="s">
        <v>248</v>
      </c>
      <c r="K404" s="57" t="s">
        <v>239</v>
      </c>
      <c r="L404" t="s">
        <v>243</v>
      </c>
    </row>
    <row r="405" spans="1:12" x14ac:dyDescent="0.3">
      <c r="A405" s="57" t="s">
        <v>668</v>
      </c>
      <c r="B405" s="57" t="s">
        <v>195</v>
      </c>
      <c r="C405" s="57" t="s">
        <v>196</v>
      </c>
      <c r="D405" s="57" t="s">
        <v>153</v>
      </c>
      <c r="E405" s="57" t="s">
        <v>149</v>
      </c>
      <c r="F405">
        <v>1</v>
      </c>
      <c r="G405">
        <v>1124</v>
      </c>
      <c r="H405" s="11">
        <v>45017</v>
      </c>
      <c r="I405" s="57" t="s">
        <v>100</v>
      </c>
      <c r="J405" s="57" t="s">
        <v>150</v>
      </c>
      <c r="K405" s="57" t="s">
        <v>264</v>
      </c>
      <c r="L405" t="s">
        <v>258</v>
      </c>
    </row>
    <row r="406" spans="1:12" x14ac:dyDescent="0.3">
      <c r="A406" s="57" t="s">
        <v>669</v>
      </c>
      <c r="B406" s="57" t="s">
        <v>262</v>
      </c>
      <c r="C406" s="57" t="s">
        <v>263</v>
      </c>
      <c r="D406" s="57" t="s">
        <v>238</v>
      </c>
      <c r="E406" s="57" t="s">
        <v>142</v>
      </c>
      <c r="F406">
        <v>10</v>
      </c>
      <c r="G406">
        <v>1441</v>
      </c>
      <c r="H406" s="11">
        <v>45357</v>
      </c>
      <c r="I406" s="57" t="s">
        <v>89</v>
      </c>
      <c r="J406" s="57" t="s">
        <v>143</v>
      </c>
      <c r="K406" s="57" t="s">
        <v>264</v>
      </c>
      <c r="L406" t="s">
        <v>258</v>
      </c>
    </row>
    <row r="407" spans="1:12" x14ac:dyDescent="0.3">
      <c r="A407" s="57" t="s">
        <v>670</v>
      </c>
      <c r="B407" s="57" t="s">
        <v>247</v>
      </c>
      <c r="C407" s="57" t="s">
        <v>237</v>
      </c>
      <c r="D407" s="57" t="s">
        <v>144</v>
      </c>
      <c r="E407" s="57" t="s">
        <v>256</v>
      </c>
      <c r="F407">
        <v>7</v>
      </c>
      <c r="G407">
        <v>7000</v>
      </c>
      <c r="H407" s="11">
        <v>45449</v>
      </c>
      <c r="I407" s="57" t="s">
        <v>257</v>
      </c>
      <c r="J407" s="57" t="s">
        <v>147</v>
      </c>
      <c r="K407" s="57" t="s">
        <v>264</v>
      </c>
      <c r="L407" t="s">
        <v>243</v>
      </c>
    </row>
    <row r="408" spans="1:12" x14ac:dyDescent="0.3">
      <c r="A408" s="57" t="s">
        <v>671</v>
      </c>
      <c r="B408" s="57" t="s">
        <v>236</v>
      </c>
      <c r="C408" s="57" t="s">
        <v>237</v>
      </c>
      <c r="D408" s="57" t="s">
        <v>152</v>
      </c>
      <c r="E408" s="57" t="s">
        <v>149</v>
      </c>
      <c r="F408">
        <v>5</v>
      </c>
      <c r="G408">
        <v>7000</v>
      </c>
      <c r="H408" s="11">
        <v>45092</v>
      </c>
      <c r="I408" s="57" t="s">
        <v>100</v>
      </c>
      <c r="J408" s="57" t="s">
        <v>147</v>
      </c>
      <c r="K408" s="57" t="s">
        <v>197</v>
      </c>
      <c r="L408" t="s">
        <v>243</v>
      </c>
    </row>
    <row r="409" spans="1:12" x14ac:dyDescent="0.3">
      <c r="A409" s="57" t="s">
        <v>672</v>
      </c>
      <c r="B409" s="57" t="s">
        <v>247</v>
      </c>
      <c r="C409" s="57" t="s">
        <v>237</v>
      </c>
      <c r="D409" s="57" t="s">
        <v>238</v>
      </c>
      <c r="E409" s="57" t="s">
        <v>149</v>
      </c>
      <c r="F409">
        <v>10</v>
      </c>
      <c r="G409">
        <v>7000</v>
      </c>
      <c r="H409" s="11">
        <v>45001</v>
      </c>
      <c r="I409" s="57" t="s">
        <v>100</v>
      </c>
      <c r="J409" s="57" t="s">
        <v>150</v>
      </c>
      <c r="K409" s="57" t="s">
        <v>238</v>
      </c>
      <c r="L409" t="s">
        <v>243</v>
      </c>
    </row>
    <row r="410" spans="1:12" x14ac:dyDescent="0.3">
      <c r="A410" s="57" t="s">
        <v>673</v>
      </c>
      <c r="B410" s="57" t="s">
        <v>255</v>
      </c>
      <c r="C410" s="57" t="s">
        <v>237</v>
      </c>
      <c r="D410" s="57" t="s">
        <v>153</v>
      </c>
      <c r="E410" s="57" t="s">
        <v>149</v>
      </c>
      <c r="F410">
        <v>10</v>
      </c>
      <c r="G410">
        <v>5900</v>
      </c>
      <c r="H410" s="11">
        <v>45021</v>
      </c>
      <c r="I410" s="57" t="s">
        <v>100</v>
      </c>
      <c r="J410" s="57" t="s">
        <v>248</v>
      </c>
      <c r="K410" s="57" t="s">
        <v>239</v>
      </c>
      <c r="L410" t="s">
        <v>240</v>
      </c>
    </row>
    <row r="411" spans="1:12" x14ac:dyDescent="0.3">
      <c r="A411" s="57" t="s">
        <v>674</v>
      </c>
      <c r="B411" s="57" t="s">
        <v>255</v>
      </c>
      <c r="C411" s="57" t="s">
        <v>237</v>
      </c>
      <c r="D411" s="57" t="s">
        <v>153</v>
      </c>
      <c r="E411" s="57" t="s">
        <v>256</v>
      </c>
      <c r="F411">
        <v>5</v>
      </c>
      <c r="G411">
        <v>7000</v>
      </c>
      <c r="H411" s="11">
        <v>45206</v>
      </c>
      <c r="I411" s="57" t="s">
        <v>291</v>
      </c>
      <c r="J411" s="57" t="s">
        <v>143</v>
      </c>
      <c r="K411" s="57" t="s">
        <v>197</v>
      </c>
      <c r="L411" t="s">
        <v>243</v>
      </c>
    </row>
    <row r="412" spans="1:12" x14ac:dyDescent="0.3">
      <c r="A412" s="57" t="s">
        <v>675</v>
      </c>
      <c r="B412" s="57" t="s">
        <v>247</v>
      </c>
      <c r="C412" s="57" t="s">
        <v>237</v>
      </c>
      <c r="D412" s="57" t="s">
        <v>148</v>
      </c>
      <c r="E412" s="57" t="s">
        <v>149</v>
      </c>
      <c r="F412">
        <v>0</v>
      </c>
      <c r="G412">
        <v>1039</v>
      </c>
      <c r="H412" s="11">
        <v>45218</v>
      </c>
      <c r="I412" s="57" t="s">
        <v>89</v>
      </c>
      <c r="J412" s="57" t="s">
        <v>248</v>
      </c>
      <c r="K412" s="57" t="s">
        <v>197</v>
      </c>
      <c r="L412" t="s">
        <v>258</v>
      </c>
    </row>
    <row r="413" spans="1:12" x14ac:dyDescent="0.3">
      <c r="A413" s="57" t="s">
        <v>676</v>
      </c>
      <c r="B413" s="57" t="s">
        <v>273</v>
      </c>
      <c r="C413" s="57" t="s">
        <v>237</v>
      </c>
      <c r="D413" s="57" t="s">
        <v>141</v>
      </c>
      <c r="E413" s="57" t="s">
        <v>256</v>
      </c>
      <c r="F413">
        <v>10</v>
      </c>
      <c r="G413">
        <v>3581</v>
      </c>
      <c r="H413" s="11">
        <v>45391</v>
      </c>
      <c r="I413" s="57" t="s">
        <v>92</v>
      </c>
      <c r="J413" s="57" t="s">
        <v>145</v>
      </c>
      <c r="K413" s="57" t="s">
        <v>253</v>
      </c>
      <c r="L413" t="s">
        <v>258</v>
      </c>
    </row>
    <row r="414" spans="1:12" x14ac:dyDescent="0.3">
      <c r="A414" s="57" t="s">
        <v>677</v>
      </c>
      <c r="B414" s="57" t="s">
        <v>268</v>
      </c>
      <c r="C414" s="57" t="s">
        <v>269</v>
      </c>
      <c r="D414" s="57" t="s">
        <v>238</v>
      </c>
      <c r="E414" s="57" t="s">
        <v>252</v>
      </c>
      <c r="F414">
        <v>5</v>
      </c>
      <c r="G414">
        <v>2420</v>
      </c>
      <c r="H414" s="11">
        <v>45178</v>
      </c>
      <c r="I414" s="57" t="s">
        <v>257</v>
      </c>
      <c r="J414" s="57" t="s">
        <v>145</v>
      </c>
      <c r="K414" s="57" t="s">
        <v>239</v>
      </c>
      <c r="L414" t="s">
        <v>258</v>
      </c>
    </row>
    <row r="415" spans="1:12" x14ac:dyDescent="0.3">
      <c r="A415" s="57" t="s">
        <v>678</v>
      </c>
      <c r="B415" s="57" t="s">
        <v>251</v>
      </c>
      <c r="C415" s="57" t="s">
        <v>237</v>
      </c>
      <c r="D415" s="57" t="s">
        <v>238</v>
      </c>
      <c r="E415" s="57" t="s">
        <v>149</v>
      </c>
      <c r="F415">
        <v>0</v>
      </c>
      <c r="G415">
        <v>5900</v>
      </c>
      <c r="H415" s="11">
        <v>45582</v>
      </c>
      <c r="I415" s="57" t="s">
        <v>266</v>
      </c>
      <c r="J415" s="57" t="s">
        <v>145</v>
      </c>
      <c r="K415" s="57" t="s">
        <v>239</v>
      </c>
      <c r="L415" t="s">
        <v>240</v>
      </c>
    </row>
    <row r="416" spans="1:12" x14ac:dyDescent="0.3">
      <c r="A416" s="57" t="s">
        <v>679</v>
      </c>
      <c r="B416" s="57" t="s">
        <v>236</v>
      </c>
      <c r="C416" s="57" t="s">
        <v>237</v>
      </c>
      <c r="D416" s="57" t="s">
        <v>238</v>
      </c>
      <c r="E416" s="57" t="s">
        <v>142</v>
      </c>
      <c r="F416">
        <v>3</v>
      </c>
      <c r="G416">
        <v>5900</v>
      </c>
      <c r="H416" s="11">
        <v>45563</v>
      </c>
      <c r="I416" s="57" t="s">
        <v>242</v>
      </c>
      <c r="J416" s="57" t="s">
        <v>150</v>
      </c>
      <c r="K416" s="57" t="s">
        <v>239</v>
      </c>
      <c r="L416" t="s">
        <v>240</v>
      </c>
    </row>
    <row r="417" spans="1:12" x14ac:dyDescent="0.3">
      <c r="A417" s="57" t="s">
        <v>680</v>
      </c>
      <c r="B417" s="57" t="s">
        <v>195</v>
      </c>
      <c r="C417" s="57" t="s">
        <v>196</v>
      </c>
      <c r="D417" s="57" t="s">
        <v>238</v>
      </c>
      <c r="E417" s="57" t="s">
        <v>142</v>
      </c>
      <c r="F417">
        <v>8</v>
      </c>
      <c r="G417">
        <v>7000</v>
      </c>
      <c r="H417" s="11">
        <v>45537</v>
      </c>
      <c r="I417" s="57" t="s">
        <v>257</v>
      </c>
      <c r="J417" s="57" t="s">
        <v>147</v>
      </c>
      <c r="K417" s="57" t="s">
        <v>197</v>
      </c>
      <c r="L417" t="s">
        <v>243</v>
      </c>
    </row>
    <row r="418" spans="1:12" x14ac:dyDescent="0.3">
      <c r="A418" s="57" t="s">
        <v>681</v>
      </c>
      <c r="B418" s="57" t="s">
        <v>245</v>
      </c>
      <c r="C418" s="57" t="s">
        <v>237</v>
      </c>
      <c r="D418" s="57" t="s">
        <v>238</v>
      </c>
      <c r="E418" s="57" t="s">
        <v>260</v>
      </c>
      <c r="F418">
        <v>8</v>
      </c>
      <c r="G418">
        <v>3314</v>
      </c>
      <c r="H418" s="11">
        <v>45369</v>
      </c>
      <c r="I418" s="57" t="s">
        <v>266</v>
      </c>
      <c r="J418" s="57" t="s">
        <v>248</v>
      </c>
      <c r="K418" s="57" t="s">
        <v>238</v>
      </c>
      <c r="L418" t="s">
        <v>258</v>
      </c>
    </row>
    <row r="419" spans="1:12" x14ac:dyDescent="0.3">
      <c r="A419" s="57" t="s">
        <v>682</v>
      </c>
      <c r="B419" s="57" t="s">
        <v>236</v>
      </c>
      <c r="C419" s="57" t="s">
        <v>237</v>
      </c>
      <c r="D419" s="57" t="s">
        <v>238</v>
      </c>
      <c r="E419" s="57" t="s">
        <v>149</v>
      </c>
      <c r="F419">
        <v>10</v>
      </c>
      <c r="G419">
        <v>4909</v>
      </c>
      <c r="H419" s="11">
        <v>45083</v>
      </c>
      <c r="I419" s="57" t="s">
        <v>89</v>
      </c>
      <c r="J419" s="57" t="s">
        <v>248</v>
      </c>
      <c r="K419" s="57" t="s">
        <v>197</v>
      </c>
      <c r="L419" t="s">
        <v>240</v>
      </c>
    </row>
    <row r="420" spans="1:12" x14ac:dyDescent="0.3">
      <c r="A420" s="57" t="s">
        <v>683</v>
      </c>
      <c r="B420" s="57" t="s">
        <v>247</v>
      </c>
      <c r="C420" s="57" t="s">
        <v>237</v>
      </c>
      <c r="D420" s="57" t="s">
        <v>238</v>
      </c>
      <c r="E420" s="57" t="s">
        <v>252</v>
      </c>
      <c r="F420">
        <v>5</v>
      </c>
      <c r="G420">
        <v>5900</v>
      </c>
      <c r="H420" s="11">
        <v>45575</v>
      </c>
      <c r="I420" s="57" t="s">
        <v>257</v>
      </c>
      <c r="J420" s="57" t="s">
        <v>145</v>
      </c>
      <c r="K420" s="57" t="s">
        <v>238</v>
      </c>
      <c r="L420" t="s">
        <v>240</v>
      </c>
    </row>
    <row r="421" spans="1:12" x14ac:dyDescent="0.3">
      <c r="A421" s="57" t="s">
        <v>684</v>
      </c>
      <c r="B421" s="57" t="s">
        <v>236</v>
      </c>
      <c r="C421" s="57" t="s">
        <v>237</v>
      </c>
      <c r="D421" s="57" t="s">
        <v>238</v>
      </c>
      <c r="E421" s="57" t="s">
        <v>256</v>
      </c>
      <c r="F421">
        <v>10</v>
      </c>
      <c r="G421">
        <v>7000</v>
      </c>
      <c r="H421" s="11">
        <v>45138</v>
      </c>
      <c r="I421" s="57" t="s">
        <v>100</v>
      </c>
      <c r="J421" s="57" t="s">
        <v>150</v>
      </c>
      <c r="K421" s="57" t="s">
        <v>238</v>
      </c>
      <c r="L421" t="s">
        <v>243</v>
      </c>
    </row>
    <row r="422" spans="1:12" x14ac:dyDescent="0.3">
      <c r="A422" s="57" t="s">
        <v>685</v>
      </c>
      <c r="B422" s="57" t="s">
        <v>262</v>
      </c>
      <c r="C422" s="57" t="s">
        <v>263</v>
      </c>
      <c r="D422" s="57" t="s">
        <v>144</v>
      </c>
      <c r="E422" s="57" t="s">
        <v>256</v>
      </c>
      <c r="F422">
        <v>5</v>
      </c>
      <c r="G422">
        <v>7000</v>
      </c>
      <c r="H422" s="11">
        <v>45386</v>
      </c>
      <c r="I422" s="57" t="s">
        <v>100</v>
      </c>
      <c r="J422" s="57" t="s">
        <v>143</v>
      </c>
      <c r="K422" s="57" t="s">
        <v>238</v>
      </c>
      <c r="L422" t="s">
        <v>243</v>
      </c>
    </row>
    <row r="423" spans="1:12" x14ac:dyDescent="0.3">
      <c r="A423" s="57" t="s">
        <v>686</v>
      </c>
      <c r="B423" s="57" t="s">
        <v>262</v>
      </c>
      <c r="C423" s="57" t="s">
        <v>263</v>
      </c>
      <c r="D423" s="57" t="s">
        <v>151</v>
      </c>
      <c r="E423" s="57" t="s">
        <v>142</v>
      </c>
      <c r="F423">
        <v>7</v>
      </c>
      <c r="G423">
        <v>5900</v>
      </c>
      <c r="H423" s="11">
        <v>44987</v>
      </c>
      <c r="I423" s="57" t="s">
        <v>242</v>
      </c>
      <c r="J423" s="57" t="s">
        <v>248</v>
      </c>
      <c r="K423" s="57" t="s">
        <v>239</v>
      </c>
      <c r="L423" t="s">
        <v>240</v>
      </c>
    </row>
    <row r="424" spans="1:12" x14ac:dyDescent="0.3">
      <c r="A424" s="57" t="s">
        <v>687</v>
      </c>
      <c r="B424" s="57" t="s">
        <v>273</v>
      </c>
      <c r="C424" s="57" t="s">
        <v>237</v>
      </c>
      <c r="D424" s="57" t="s">
        <v>144</v>
      </c>
      <c r="E424" s="57" t="s">
        <v>260</v>
      </c>
      <c r="F424">
        <v>0</v>
      </c>
      <c r="G424">
        <v>5900</v>
      </c>
      <c r="H424" s="11">
        <v>45318</v>
      </c>
      <c r="I424" s="57" t="s">
        <v>92</v>
      </c>
      <c r="J424" s="57" t="s">
        <v>147</v>
      </c>
      <c r="K424" s="57" t="s">
        <v>238</v>
      </c>
      <c r="L424" t="s">
        <v>240</v>
      </c>
    </row>
    <row r="425" spans="1:12" x14ac:dyDescent="0.3">
      <c r="A425" s="57" t="s">
        <v>688</v>
      </c>
      <c r="B425" s="57" t="s">
        <v>251</v>
      </c>
      <c r="C425" s="57" t="s">
        <v>237</v>
      </c>
      <c r="D425" s="57" t="s">
        <v>152</v>
      </c>
      <c r="E425" s="57" t="s">
        <v>260</v>
      </c>
      <c r="F425">
        <v>7</v>
      </c>
      <c r="G425">
        <v>7000</v>
      </c>
      <c r="H425" s="11">
        <v>45505</v>
      </c>
      <c r="I425" s="57" t="s">
        <v>100</v>
      </c>
      <c r="J425" s="57" t="s">
        <v>145</v>
      </c>
      <c r="K425" s="57" t="s">
        <v>249</v>
      </c>
      <c r="L425" t="s">
        <v>243</v>
      </c>
    </row>
    <row r="426" spans="1:12" x14ac:dyDescent="0.3">
      <c r="A426" s="57" t="s">
        <v>689</v>
      </c>
      <c r="B426" s="57" t="s">
        <v>268</v>
      </c>
      <c r="C426" s="57" t="s">
        <v>269</v>
      </c>
      <c r="D426" s="57" t="s">
        <v>151</v>
      </c>
      <c r="E426" s="57" t="s">
        <v>142</v>
      </c>
      <c r="F426">
        <v>7</v>
      </c>
      <c r="G426">
        <v>3523</v>
      </c>
      <c r="H426" s="11">
        <v>45424</v>
      </c>
      <c r="I426" s="57" t="s">
        <v>266</v>
      </c>
      <c r="J426" s="57" t="s">
        <v>145</v>
      </c>
      <c r="K426" s="57" t="s">
        <v>238</v>
      </c>
      <c r="L426" t="s">
        <v>258</v>
      </c>
    </row>
    <row r="427" spans="1:12" x14ac:dyDescent="0.3">
      <c r="A427" s="57" t="s">
        <v>690</v>
      </c>
      <c r="B427" s="57" t="s">
        <v>255</v>
      </c>
      <c r="C427" s="57" t="s">
        <v>237</v>
      </c>
      <c r="D427" s="57" t="s">
        <v>238</v>
      </c>
      <c r="E427" s="57" t="s">
        <v>252</v>
      </c>
      <c r="F427">
        <v>5</v>
      </c>
      <c r="G427">
        <v>5900</v>
      </c>
      <c r="H427" s="11">
        <v>45164</v>
      </c>
      <c r="I427" s="57" t="s">
        <v>100</v>
      </c>
      <c r="J427" s="57" t="s">
        <v>147</v>
      </c>
      <c r="K427" s="57" t="s">
        <v>249</v>
      </c>
      <c r="L427" t="s">
        <v>240</v>
      </c>
    </row>
    <row r="428" spans="1:12" x14ac:dyDescent="0.3">
      <c r="A428" s="57" t="s">
        <v>691</v>
      </c>
      <c r="B428" s="57" t="s">
        <v>251</v>
      </c>
      <c r="C428" s="57" t="s">
        <v>237</v>
      </c>
      <c r="D428" s="57" t="s">
        <v>238</v>
      </c>
      <c r="E428" s="57" t="s">
        <v>149</v>
      </c>
      <c r="F428">
        <v>10</v>
      </c>
      <c r="G428">
        <v>3083</v>
      </c>
      <c r="H428" s="11">
        <v>45045</v>
      </c>
      <c r="I428" s="57" t="s">
        <v>266</v>
      </c>
      <c r="J428" s="57" t="s">
        <v>143</v>
      </c>
      <c r="K428" s="57" t="s">
        <v>249</v>
      </c>
      <c r="L428" t="s">
        <v>258</v>
      </c>
    </row>
    <row r="429" spans="1:12" x14ac:dyDescent="0.3">
      <c r="A429" s="57" t="s">
        <v>692</v>
      </c>
      <c r="B429" s="57" t="s">
        <v>268</v>
      </c>
      <c r="C429" s="57" t="s">
        <v>269</v>
      </c>
      <c r="D429" s="57" t="s">
        <v>153</v>
      </c>
      <c r="E429" s="57" t="s">
        <v>252</v>
      </c>
      <c r="F429">
        <v>0</v>
      </c>
      <c r="G429">
        <v>7000</v>
      </c>
      <c r="H429" s="11">
        <v>45146</v>
      </c>
      <c r="I429" s="57" t="s">
        <v>242</v>
      </c>
      <c r="J429" s="57" t="s">
        <v>248</v>
      </c>
      <c r="K429" s="57" t="s">
        <v>197</v>
      </c>
      <c r="L429" t="s">
        <v>243</v>
      </c>
    </row>
    <row r="430" spans="1:12" x14ac:dyDescent="0.3">
      <c r="A430" s="57" t="s">
        <v>693</v>
      </c>
      <c r="B430" s="57" t="s">
        <v>262</v>
      </c>
      <c r="C430" s="57" t="s">
        <v>263</v>
      </c>
      <c r="D430" s="57" t="s">
        <v>238</v>
      </c>
      <c r="E430" s="57" t="s">
        <v>256</v>
      </c>
      <c r="F430">
        <v>0</v>
      </c>
      <c r="G430">
        <v>3225</v>
      </c>
      <c r="H430" s="11">
        <v>45498</v>
      </c>
      <c r="I430" s="57" t="s">
        <v>100</v>
      </c>
      <c r="J430" s="57" t="s">
        <v>145</v>
      </c>
      <c r="K430" s="57" t="s">
        <v>238</v>
      </c>
      <c r="L430" t="s">
        <v>258</v>
      </c>
    </row>
    <row r="431" spans="1:12" x14ac:dyDescent="0.3">
      <c r="A431" s="57" t="s">
        <v>694</v>
      </c>
      <c r="B431" s="57" t="s">
        <v>251</v>
      </c>
      <c r="C431" s="57" t="s">
        <v>237</v>
      </c>
      <c r="D431" s="57" t="s">
        <v>151</v>
      </c>
      <c r="E431" s="57" t="s">
        <v>260</v>
      </c>
      <c r="F431">
        <v>10</v>
      </c>
      <c r="G431">
        <v>7000</v>
      </c>
      <c r="H431" s="11">
        <v>45501</v>
      </c>
      <c r="I431" s="57" t="s">
        <v>257</v>
      </c>
      <c r="J431" s="57" t="s">
        <v>143</v>
      </c>
      <c r="K431" s="57" t="s">
        <v>197</v>
      </c>
      <c r="L431" t="s">
        <v>243</v>
      </c>
    </row>
    <row r="432" spans="1:12" x14ac:dyDescent="0.3">
      <c r="A432" s="57" t="s">
        <v>695</v>
      </c>
      <c r="B432" s="57" t="s">
        <v>275</v>
      </c>
      <c r="C432" s="57" t="s">
        <v>276</v>
      </c>
      <c r="D432" s="57" t="s">
        <v>146</v>
      </c>
      <c r="E432" s="57" t="s">
        <v>252</v>
      </c>
      <c r="F432">
        <v>7</v>
      </c>
      <c r="G432">
        <v>5900</v>
      </c>
      <c r="H432" s="11">
        <v>45147</v>
      </c>
      <c r="I432" s="57" t="s">
        <v>89</v>
      </c>
      <c r="J432" s="57" t="s">
        <v>150</v>
      </c>
      <c r="K432" s="57" t="s">
        <v>253</v>
      </c>
      <c r="L432" t="s">
        <v>240</v>
      </c>
    </row>
    <row r="433" spans="1:12" x14ac:dyDescent="0.3">
      <c r="A433" s="57" t="s">
        <v>696</v>
      </c>
      <c r="B433" s="57" t="s">
        <v>275</v>
      </c>
      <c r="C433" s="57" t="s">
        <v>276</v>
      </c>
      <c r="D433" s="57" t="s">
        <v>152</v>
      </c>
      <c r="E433" s="57" t="s">
        <v>142</v>
      </c>
      <c r="F433">
        <v>10</v>
      </c>
      <c r="G433">
        <v>7000</v>
      </c>
      <c r="H433" s="11">
        <v>45532</v>
      </c>
      <c r="I433" s="57" t="s">
        <v>266</v>
      </c>
      <c r="J433" s="57" t="s">
        <v>150</v>
      </c>
      <c r="K433" s="57" t="s">
        <v>238</v>
      </c>
      <c r="L433" t="s">
        <v>243</v>
      </c>
    </row>
    <row r="434" spans="1:12" x14ac:dyDescent="0.3">
      <c r="A434" s="57" t="s">
        <v>697</v>
      </c>
      <c r="B434" s="57" t="s">
        <v>275</v>
      </c>
      <c r="C434" s="57" t="s">
        <v>276</v>
      </c>
      <c r="D434" s="57" t="s">
        <v>152</v>
      </c>
      <c r="E434" s="57" t="s">
        <v>252</v>
      </c>
      <c r="F434">
        <v>7</v>
      </c>
      <c r="G434">
        <v>5900</v>
      </c>
      <c r="H434" s="11">
        <v>45548</v>
      </c>
      <c r="I434" s="57" t="s">
        <v>291</v>
      </c>
      <c r="J434" s="57" t="s">
        <v>147</v>
      </c>
      <c r="K434" s="57" t="s">
        <v>249</v>
      </c>
      <c r="L434" t="s">
        <v>240</v>
      </c>
    </row>
    <row r="435" spans="1:12" x14ac:dyDescent="0.3">
      <c r="A435" s="57" t="s">
        <v>698</v>
      </c>
      <c r="B435" s="57" t="s">
        <v>262</v>
      </c>
      <c r="C435" s="57" t="s">
        <v>263</v>
      </c>
      <c r="D435" s="57" t="s">
        <v>238</v>
      </c>
      <c r="E435" s="57" t="s">
        <v>256</v>
      </c>
      <c r="F435">
        <v>10</v>
      </c>
      <c r="G435">
        <v>4869</v>
      </c>
      <c r="H435" s="11">
        <v>45121</v>
      </c>
      <c r="I435" s="57" t="s">
        <v>95</v>
      </c>
      <c r="J435" s="57" t="s">
        <v>248</v>
      </c>
      <c r="K435" s="57" t="s">
        <v>249</v>
      </c>
      <c r="L435" t="s">
        <v>240</v>
      </c>
    </row>
    <row r="436" spans="1:12" x14ac:dyDescent="0.3">
      <c r="A436" s="57" t="s">
        <v>699</v>
      </c>
      <c r="B436" s="57" t="s">
        <v>255</v>
      </c>
      <c r="C436" s="57" t="s">
        <v>237</v>
      </c>
      <c r="D436" s="57" t="s">
        <v>152</v>
      </c>
      <c r="E436" s="57" t="s">
        <v>142</v>
      </c>
      <c r="F436">
        <v>7</v>
      </c>
      <c r="G436">
        <v>5900</v>
      </c>
      <c r="H436" s="11">
        <v>44973</v>
      </c>
      <c r="I436" s="57" t="s">
        <v>242</v>
      </c>
      <c r="J436" s="57" t="s">
        <v>150</v>
      </c>
      <c r="K436" s="57" t="s">
        <v>238</v>
      </c>
      <c r="L436" t="s">
        <v>240</v>
      </c>
    </row>
    <row r="437" spans="1:12" x14ac:dyDescent="0.3">
      <c r="A437" s="57" t="s">
        <v>700</v>
      </c>
      <c r="B437" s="57" t="s">
        <v>273</v>
      </c>
      <c r="C437" s="57" t="s">
        <v>237</v>
      </c>
      <c r="D437" s="57" t="s">
        <v>146</v>
      </c>
      <c r="E437" s="57" t="s">
        <v>142</v>
      </c>
      <c r="F437">
        <v>7</v>
      </c>
      <c r="G437">
        <v>7000</v>
      </c>
      <c r="H437" s="11">
        <v>45242</v>
      </c>
      <c r="I437" s="57" t="s">
        <v>89</v>
      </c>
      <c r="J437" s="57" t="s">
        <v>143</v>
      </c>
      <c r="K437" s="57" t="s">
        <v>264</v>
      </c>
      <c r="L437" t="s">
        <v>243</v>
      </c>
    </row>
    <row r="438" spans="1:12" x14ac:dyDescent="0.3">
      <c r="A438" s="57" t="s">
        <v>701</v>
      </c>
      <c r="B438" s="57" t="s">
        <v>255</v>
      </c>
      <c r="C438" s="57" t="s">
        <v>237</v>
      </c>
      <c r="D438" s="57" t="s">
        <v>148</v>
      </c>
      <c r="E438" s="57" t="s">
        <v>260</v>
      </c>
      <c r="F438">
        <v>0</v>
      </c>
      <c r="G438">
        <v>7000</v>
      </c>
      <c r="H438" s="11">
        <v>45321</v>
      </c>
      <c r="I438" s="57" t="s">
        <v>100</v>
      </c>
      <c r="J438" s="57" t="s">
        <v>145</v>
      </c>
      <c r="K438" s="57" t="s">
        <v>239</v>
      </c>
      <c r="L438" t="s">
        <v>243</v>
      </c>
    </row>
    <row r="439" spans="1:12" x14ac:dyDescent="0.3">
      <c r="A439" s="57" t="s">
        <v>702</v>
      </c>
      <c r="B439" s="57" t="s">
        <v>247</v>
      </c>
      <c r="C439" s="57" t="s">
        <v>237</v>
      </c>
      <c r="D439" s="57" t="s">
        <v>153</v>
      </c>
      <c r="E439" s="57" t="s">
        <v>256</v>
      </c>
      <c r="F439">
        <v>7</v>
      </c>
      <c r="G439">
        <v>5900</v>
      </c>
      <c r="H439" s="11">
        <v>45043</v>
      </c>
      <c r="I439" s="57" t="s">
        <v>92</v>
      </c>
      <c r="J439" s="57" t="s">
        <v>145</v>
      </c>
      <c r="K439" s="57" t="s">
        <v>197</v>
      </c>
      <c r="L439" t="s">
        <v>240</v>
      </c>
    </row>
    <row r="440" spans="1:12" x14ac:dyDescent="0.3">
      <c r="A440" s="57" t="s">
        <v>703</v>
      </c>
      <c r="B440" s="57" t="s">
        <v>255</v>
      </c>
      <c r="C440" s="57" t="s">
        <v>237</v>
      </c>
      <c r="D440" s="57" t="s">
        <v>238</v>
      </c>
      <c r="E440" s="57" t="s">
        <v>252</v>
      </c>
      <c r="F440">
        <v>5</v>
      </c>
      <c r="G440">
        <v>5900</v>
      </c>
      <c r="H440" s="11">
        <v>45190</v>
      </c>
      <c r="I440" s="57" t="s">
        <v>100</v>
      </c>
      <c r="J440" s="57" t="s">
        <v>145</v>
      </c>
      <c r="K440" s="57" t="s">
        <v>197</v>
      </c>
      <c r="L440" t="s">
        <v>240</v>
      </c>
    </row>
    <row r="441" spans="1:12" x14ac:dyDescent="0.3">
      <c r="A441" s="57" t="s">
        <v>704</v>
      </c>
      <c r="B441" s="57" t="s">
        <v>268</v>
      </c>
      <c r="C441" s="57" t="s">
        <v>269</v>
      </c>
      <c r="D441" s="57" t="s">
        <v>152</v>
      </c>
      <c r="E441" s="57" t="s">
        <v>260</v>
      </c>
      <c r="F441">
        <v>7</v>
      </c>
      <c r="G441">
        <v>5900</v>
      </c>
      <c r="H441" s="11">
        <v>45145</v>
      </c>
      <c r="I441" s="57" t="s">
        <v>257</v>
      </c>
      <c r="J441" s="57" t="s">
        <v>143</v>
      </c>
      <c r="K441" s="57" t="s">
        <v>249</v>
      </c>
      <c r="L441" t="s">
        <v>240</v>
      </c>
    </row>
    <row r="442" spans="1:12" x14ac:dyDescent="0.3">
      <c r="A442" s="57" t="s">
        <v>705</v>
      </c>
      <c r="B442" s="57" t="s">
        <v>247</v>
      </c>
      <c r="C442" s="57" t="s">
        <v>237</v>
      </c>
      <c r="D442" s="57" t="s">
        <v>148</v>
      </c>
      <c r="E442" s="57" t="s">
        <v>149</v>
      </c>
      <c r="F442">
        <v>10</v>
      </c>
      <c r="G442">
        <v>7000</v>
      </c>
      <c r="H442" s="11">
        <v>45451</v>
      </c>
      <c r="I442" s="57" t="s">
        <v>291</v>
      </c>
      <c r="J442" s="57" t="s">
        <v>150</v>
      </c>
      <c r="K442" s="57" t="s">
        <v>239</v>
      </c>
      <c r="L442" t="s">
        <v>243</v>
      </c>
    </row>
    <row r="443" spans="1:12" x14ac:dyDescent="0.3">
      <c r="A443" s="57" t="s">
        <v>706</v>
      </c>
      <c r="B443" s="57" t="s">
        <v>268</v>
      </c>
      <c r="C443" s="57" t="s">
        <v>269</v>
      </c>
      <c r="D443" s="57" t="s">
        <v>152</v>
      </c>
      <c r="E443" s="57" t="s">
        <v>149</v>
      </c>
      <c r="F443">
        <v>0</v>
      </c>
      <c r="G443">
        <v>7000</v>
      </c>
      <c r="H443" s="11">
        <v>45574</v>
      </c>
      <c r="I443" s="57" t="s">
        <v>89</v>
      </c>
      <c r="J443" s="57" t="s">
        <v>248</v>
      </c>
      <c r="K443" s="57" t="s">
        <v>253</v>
      </c>
      <c r="L443" t="s">
        <v>243</v>
      </c>
    </row>
    <row r="444" spans="1:12" x14ac:dyDescent="0.3">
      <c r="A444" s="57" t="s">
        <v>707</v>
      </c>
      <c r="B444" s="57" t="s">
        <v>251</v>
      </c>
      <c r="C444" s="57" t="s">
        <v>237</v>
      </c>
      <c r="D444" s="57" t="s">
        <v>238</v>
      </c>
      <c r="E444" s="57" t="s">
        <v>142</v>
      </c>
      <c r="F444">
        <v>5</v>
      </c>
      <c r="G444">
        <v>5900</v>
      </c>
      <c r="H444" s="11">
        <v>44962</v>
      </c>
      <c r="I444" s="57" t="s">
        <v>95</v>
      </c>
      <c r="J444" s="57" t="s">
        <v>150</v>
      </c>
      <c r="K444" s="57" t="s">
        <v>249</v>
      </c>
      <c r="L444" t="s">
        <v>240</v>
      </c>
    </row>
    <row r="445" spans="1:12" x14ac:dyDescent="0.3">
      <c r="A445" s="57" t="s">
        <v>708</v>
      </c>
      <c r="B445" s="57" t="s">
        <v>245</v>
      </c>
      <c r="C445" s="57" t="s">
        <v>237</v>
      </c>
      <c r="D445" s="57" t="s">
        <v>148</v>
      </c>
      <c r="E445" s="57" t="s">
        <v>252</v>
      </c>
      <c r="F445">
        <v>10</v>
      </c>
      <c r="G445">
        <v>5900</v>
      </c>
      <c r="H445" s="11">
        <v>45632</v>
      </c>
      <c r="I445" s="57" t="s">
        <v>92</v>
      </c>
      <c r="J445" s="57" t="s">
        <v>143</v>
      </c>
      <c r="K445" s="57" t="s">
        <v>238</v>
      </c>
      <c r="L445" t="s">
        <v>240</v>
      </c>
    </row>
    <row r="446" spans="1:12" x14ac:dyDescent="0.3">
      <c r="A446" s="57" t="s">
        <v>709</v>
      </c>
      <c r="B446" s="57" t="s">
        <v>275</v>
      </c>
      <c r="C446" s="57" t="s">
        <v>276</v>
      </c>
      <c r="D446" s="57" t="s">
        <v>153</v>
      </c>
      <c r="E446" s="57" t="s">
        <v>142</v>
      </c>
      <c r="F446">
        <v>0</v>
      </c>
      <c r="G446">
        <v>5900</v>
      </c>
      <c r="H446" s="11">
        <v>45233</v>
      </c>
      <c r="I446" s="57" t="s">
        <v>242</v>
      </c>
      <c r="J446" s="57" t="s">
        <v>150</v>
      </c>
      <c r="K446" s="57" t="s">
        <v>264</v>
      </c>
      <c r="L446" t="s">
        <v>240</v>
      </c>
    </row>
    <row r="447" spans="1:12" x14ac:dyDescent="0.3">
      <c r="A447" s="57" t="s">
        <v>710</v>
      </c>
      <c r="B447" s="57" t="s">
        <v>268</v>
      </c>
      <c r="C447" s="57" t="s">
        <v>269</v>
      </c>
      <c r="D447" s="57" t="s">
        <v>148</v>
      </c>
      <c r="E447" s="57" t="s">
        <v>142</v>
      </c>
      <c r="F447">
        <v>5</v>
      </c>
      <c r="G447">
        <v>7000</v>
      </c>
      <c r="H447" s="11">
        <v>45335</v>
      </c>
      <c r="I447" s="57" t="s">
        <v>291</v>
      </c>
      <c r="J447" s="57" t="s">
        <v>143</v>
      </c>
      <c r="K447" s="57" t="s">
        <v>197</v>
      </c>
      <c r="L447" t="s">
        <v>243</v>
      </c>
    </row>
    <row r="448" spans="1:12" x14ac:dyDescent="0.3">
      <c r="A448" s="57" t="s">
        <v>711</v>
      </c>
      <c r="B448" s="57" t="s">
        <v>268</v>
      </c>
      <c r="C448" s="57" t="s">
        <v>269</v>
      </c>
      <c r="D448" s="57" t="s">
        <v>152</v>
      </c>
      <c r="E448" s="57" t="s">
        <v>142</v>
      </c>
      <c r="F448">
        <v>7</v>
      </c>
      <c r="G448">
        <v>5900</v>
      </c>
      <c r="H448" s="11">
        <v>45416</v>
      </c>
      <c r="I448" s="57" t="s">
        <v>291</v>
      </c>
      <c r="J448" s="57" t="s">
        <v>147</v>
      </c>
      <c r="K448" s="57" t="s">
        <v>238</v>
      </c>
      <c r="L448" t="s">
        <v>240</v>
      </c>
    </row>
    <row r="449" spans="1:12" x14ac:dyDescent="0.3">
      <c r="A449" s="57" t="s">
        <v>712</v>
      </c>
      <c r="B449" s="57" t="s">
        <v>251</v>
      </c>
      <c r="C449" s="57" t="s">
        <v>237</v>
      </c>
      <c r="D449" s="57" t="s">
        <v>146</v>
      </c>
      <c r="E449" s="57" t="s">
        <v>142</v>
      </c>
      <c r="F449">
        <v>0</v>
      </c>
      <c r="G449">
        <v>2005</v>
      </c>
      <c r="H449" s="11">
        <v>45304</v>
      </c>
      <c r="I449" s="57" t="s">
        <v>100</v>
      </c>
      <c r="J449" s="57" t="s">
        <v>145</v>
      </c>
      <c r="K449" s="57" t="s">
        <v>239</v>
      </c>
      <c r="L449" t="s">
        <v>258</v>
      </c>
    </row>
    <row r="450" spans="1:12" x14ac:dyDescent="0.3">
      <c r="A450" s="57" t="s">
        <v>713</v>
      </c>
      <c r="B450" s="57" t="s">
        <v>251</v>
      </c>
      <c r="C450" s="57" t="s">
        <v>237</v>
      </c>
      <c r="D450" s="57" t="s">
        <v>153</v>
      </c>
      <c r="E450" s="57" t="s">
        <v>149</v>
      </c>
      <c r="F450">
        <v>2</v>
      </c>
      <c r="G450">
        <v>7000</v>
      </c>
      <c r="H450" s="11">
        <v>44975</v>
      </c>
      <c r="I450" s="57" t="s">
        <v>266</v>
      </c>
      <c r="J450" s="57" t="s">
        <v>147</v>
      </c>
      <c r="K450" s="57" t="s">
        <v>249</v>
      </c>
      <c r="L450" t="s">
        <v>243</v>
      </c>
    </row>
    <row r="451" spans="1:12" x14ac:dyDescent="0.3">
      <c r="A451" s="57" t="s">
        <v>714</v>
      </c>
      <c r="B451" s="57" t="s">
        <v>275</v>
      </c>
      <c r="C451" s="57" t="s">
        <v>276</v>
      </c>
      <c r="D451" s="57" t="s">
        <v>146</v>
      </c>
      <c r="E451" s="57" t="s">
        <v>142</v>
      </c>
      <c r="F451">
        <v>0</v>
      </c>
      <c r="G451">
        <v>7000</v>
      </c>
      <c r="H451" s="11">
        <v>44959</v>
      </c>
      <c r="I451" s="57" t="s">
        <v>257</v>
      </c>
      <c r="J451" s="57" t="s">
        <v>150</v>
      </c>
      <c r="K451" s="57" t="s">
        <v>249</v>
      </c>
      <c r="L451" t="s">
        <v>243</v>
      </c>
    </row>
    <row r="452" spans="1:12" x14ac:dyDescent="0.3">
      <c r="A452" s="57" t="s">
        <v>715</v>
      </c>
      <c r="B452" s="57" t="s">
        <v>255</v>
      </c>
      <c r="C452" s="57" t="s">
        <v>237</v>
      </c>
      <c r="D452" s="57" t="s">
        <v>141</v>
      </c>
      <c r="E452" s="57" t="s">
        <v>252</v>
      </c>
      <c r="F452">
        <v>5</v>
      </c>
      <c r="G452">
        <v>7000</v>
      </c>
      <c r="H452" s="11">
        <v>45437</v>
      </c>
      <c r="I452" s="57" t="s">
        <v>89</v>
      </c>
      <c r="J452" s="57" t="s">
        <v>143</v>
      </c>
      <c r="K452" s="57" t="s">
        <v>264</v>
      </c>
      <c r="L452" t="s">
        <v>243</v>
      </c>
    </row>
    <row r="453" spans="1:12" x14ac:dyDescent="0.3">
      <c r="A453" s="57" t="s">
        <v>716</v>
      </c>
      <c r="B453" s="57" t="s">
        <v>251</v>
      </c>
      <c r="C453" s="57" t="s">
        <v>237</v>
      </c>
      <c r="D453" s="57" t="s">
        <v>146</v>
      </c>
      <c r="E453" s="57" t="s">
        <v>142</v>
      </c>
      <c r="F453">
        <v>10</v>
      </c>
      <c r="G453">
        <v>147</v>
      </c>
      <c r="H453" s="11">
        <v>45557</v>
      </c>
      <c r="I453" s="57" t="s">
        <v>242</v>
      </c>
      <c r="J453" s="57" t="s">
        <v>145</v>
      </c>
      <c r="K453" s="57" t="s">
        <v>197</v>
      </c>
      <c r="L453" t="s">
        <v>302</v>
      </c>
    </row>
    <row r="454" spans="1:12" x14ac:dyDescent="0.3">
      <c r="A454" s="57" t="s">
        <v>717</v>
      </c>
      <c r="B454" s="57" t="s">
        <v>255</v>
      </c>
      <c r="C454" s="57" t="s">
        <v>237</v>
      </c>
      <c r="D454" s="57" t="s">
        <v>151</v>
      </c>
      <c r="E454" s="57" t="s">
        <v>256</v>
      </c>
      <c r="F454">
        <v>10</v>
      </c>
      <c r="G454">
        <v>4143</v>
      </c>
      <c r="H454" s="11">
        <v>45615</v>
      </c>
      <c r="I454" s="57" t="s">
        <v>100</v>
      </c>
      <c r="J454" s="57" t="s">
        <v>143</v>
      </c>
      <c r="K454" s="57" t="s">
        <v>239</v>
      </c>
      <c r="L454" t="s">
        <v>240</v>
      </c>
    </row>
    <row r="455" spans="1:12" x14ac:dyDescent="0.3">
      <c r="A455" s="57" t="s">
        <v>718</v>
      </c>
      <c r="B455" s="57" t="s">
        <v>236</v>
      </c>
      <c r="C455" s="57" t="s">
        <v>237</v>
      </c>
      <c r="D455" s="57" t="s">
        <v>152</v>
      </c>
      <c r="E455" s="57" t="s">
        <v>260</v>
      </c>
      <c r="F455">
        <v>4</v>
      </c>
      <c r="G455">
        <v>3339</v>
      </c>
      <c r="H455" s="11">
        <v>45056</v>
      </c>
      <c r="I455" s="57" t="s">
        <v>100</v>
      </c>
      <c r="J455" s="57" t="s">
        <v>143</v>
      </c>
      <c r="K455" s="57" t="s">
        <v>239</v>
      </c>
      <c r="L455" t="s">
        <v>258</v>
      </c>
    </row>
    <row r="456" spans="1:12" x14ac:dyDescent="0.3">
      <c r="A456" s="57" t="s">
        <v>719</v>
      </c>
      <c r="B456" s="57" t="s">
        <v>273</v>
      </c>
      <c r="C456" s="57" t="s">
        <v>237</v>
      </c>
      <c r="D456" s="57" t="s">
        <v>238</v>
      </c>
      <c r="E456" s="57" t="s">
        <v>260</v>
      </c>
      <c r="F456">
        <v>0</v>
      </c>
      <c r="G456">
        <v>7000</v>
      </c>
      <c r="H456" s="11">
        <v>45316</v>
      </c>
      <c r="I456" s="57" t="s">
        <v>257</v>
      </c>
      <c r="J456" s="57" t="s">
        <v>150</v>
      </c>
      <c r="K456" s="57" t="s">
        <v>239</v>
      </c>
      <c r="L456" t="s">
        <v>243</v>
      </c>
    </row>
    <row r="457" spans="1:12" x14ac:dyDescent="0.3">
      <c r="A457" s="57" t="s">
        <v>720</v>
      </c>
      <c r="B457" s="57" t="s">
        <v>236</v>
      </c>
      <c r="C457" s="57" t="s">
        <v>237</v>
      </c>
      <c r="D457" s="57" t="s">
        <v>146</v>
      </c>
      <c r="E457" s="57" t="s">
        <v>256</v>
      </c>
      <c r="F457">
        <v>0</v>
      </c>
      <c r="G457">
        <v>250</v>
      </c>
      <c r="H457" s="11">
        <v>45128</v>
      </c>
      <c r="I457" s="57" t="s">
        <v>266</v>
      </c>
      <c r="J457" s="57" t="s">
        <v>248</v>
      </c>
      <c r="K457" s="57" t="s">
        <v>239</v>
      </c>
      <c r="L457" t="s">
        <v>302</v>
      </c>
    </row>
    <row r="458" spans="1:12" x14ac:dyDescent="0.3">
      <c r="A458" s="57" t="s">
        <v>721</v>
      </c>
      <c r="B458" s="57" t="s">
        <v>268</v>
      </c>
      <c r="C458" s="57" t="s">
        <v>269</v>
      </c>
      <c r="D458" s="57" t="s">
        <v>144</v>
      </c>
      <c r="E458" s="57" t="s">
        <v>252</v>
      </c>
      <c r="F458">
        <v>7</v>
      </c>
      <c r="G458">
        <v>7000</v>
      </c>
      <c r="H458" s="11">
        <v>45572</v>
      </c>
      <c r="I458" s="57" t="s">
        <v>257</v>
      </c>
      <c r="J458" s="57" t="s">
        <v>143</v>
      </c>
      <c r="K458" s="57" t="s">
        <v>253</v>
      </c>
      <c r="L458" t="s">
        <v>243</v>
      </c>
    </row>
    <row r="459" spans="1:12" x14ac:dyDescent="0.3">
      <c r="A459" s="57" t="s">
        <v>722</v>
      </c>
      <c r="B459" s="57" t="s">
        <v>268</v>
      </c>
      <c r="C459" s="57" t="s">
        <v>269</v>
      </c>
      <c r="D459" s="57" t="s">
        <v>144</v>
      </c>
      <c r="E459" s="57" t="s">
        <v>252</v>
      </c>
      <c r="F459">
        <v>10</v>
      </c>
      <c r="G459">
        <v>7000</v>
      </c>
      <c r="H459" s="11">
        <v>45341</v>
      </c>
      <c r="I459" s="57" t="s">
        <v>242</v>
      </c>
      <c r="J459" s="57" t="s">
        <v>143</v>
      </c>
      <c r="K459" s="57" t="s">
        <v>197</v>
      </c>
      <c r="L459" t="s">
        <v>243</v>
      </c>
    </row>
    <row r="460" spans="1:12" x14ac:dyDescent="0.3">
      <c r="A460" s="57" t="s">
        <v>723</v>
      </c>
      <c r="B460" s="57" t="s">
        <v>245</v>
      </c>
      <c r="C460" s="57" t="s">
        <v>237</v>
      </c>
      <c r="D460" s="57" t="s">
        <v>153</v>
      </c>
      <c r="E460" s="57" t="s">
        <v>256</v>
      </c>
      <c r="F460">
        <v>6</v>
      </c>
      <c r="G460">
        <v>7000</v>
      </c>
      <c r="H460" s="11">
        <v>45571</v>
      </c>
      <c r="I460" s="57" t="s">
        <v>266</v>
      </c>
      <c r="J460" s="57" t="s">
        <v>248</v>
      </c>
      <c r="K460" s="57" t="s">
        <v>238</v>
      </c>
      <c r="L460" t="s">
        <v>243</v>
      </c>
    </row>
    <row r="461" spans="1:12" x14ac:dyDescent="0.3">
      <c r="A461" s="57" t="s">
        <v>724</v>
      </c>
      <c r="B461" s="57" t="s">
        <v>195</v>
      </c>
      <c r="C461" s="57" t="s">
        <v>196</v>
      </c>
      <c r="D461" s="57" t="s">
        <v>238</v>
      </c>
      <c r="E461" s="57" t="s">
        <v>252</v>
      </c>
      <c r="F461">
        <v>0</v>
      </c>
      <c r="G461">
        <v>7000</v>
      </c>
      <c r="H461" s="11">
        <v>45364</v>
      </c>
      <c r="I461" s="57" t="s">
        <v>89</v>
      </c>
      <c r="J461" s="57" t="s">
        <v>145</v>
      </c>
      <c r="K461" s="57" t="s">
        <v>238</v>
      </c>
      <c r="L461" t="s">
        <v>243</v>
      </c>
    </row>
    <row r="462" spans="1:12" x14ac:dyDescent="0.3">
      <c r="A462" s="57" t="s">
        <v>725</v>
      </c>
      <c r="B462" s="57" t="s">
        <v>273</v>
      </c>
      <c r="C462" s="57" t="s">
        <v>237</v>
      </c>
      <c r="D462" s="57" t="s">
        <v>153</v>
      </c>
      <c r="E462" s="57" t="s">
        <v>260</v>
      </c>
      <c r="F462">
        <v>10</v>
      </c>
      <c r="G462">
        <v>5900</v>
      </c>
      <c r="H462" s="11">
        <v>45275</v>
      </c>
      <c r="I462" s="57" t="s">
        <v>95</v>
      </c>
      <c r="J462" s="57" t="s">
        <v>145</v>
      </c>
      <c r="K462" s="57" t="s">
        <v>249</v>
      </c>
      <c r="L462" t="s">
        <v>240</v>
      </c>
    </row>
    <row r="463" spans="1:12" x14ac:dyDescent="0.3">
      <c r="A463" s="57" t="s">
        <v>726</v>
      </c>
      <c r="B463" s="57" t="s">
        <v>245</v>
      </c>
      <c r="C463" s="57" t="s">
        <v>237</v>
      </c>
      <c r="D463" s="57" t="s">
        <v>153</v>
      </c>
      <c r="E463" s="57" t="s">
        <v>149</v>
      </c>
      <c r="F463">
        <v>5</v>
      </c>
      <c r="G463">
        <v>7000</v>
      </c>
      <c r="H463" s="11">
        <v>45243</v>
      </c>
      <c r="I463" s="57" t="s">
        <v>92</v>
      </c>
      <c r="J463" s="57" t="s">
        <v>248</v>
      </c>
      <c r="K463" s="57" t="s">
        <v>239</v>
      </c>
      <c r="L463" t="s">
        <v>243</v>
      </c>
    </row>
    <row r="464" spans="1:12" x14ac:dyDescent="0.3">
      <c r="A464" s="57" t="s">
        <v>727</v>
      </c>
      <c r="B464" s="57" t="s">
        <v>262</v>
      </c>
      <c r="C464" s="57" t="s">
        <v>263</v>
      </c>
      <c r="D464" s="57" t="s">
        <v>238</v>
      </c>
      <c r="E464" s="57" t="s">
        <v>149</v>
      </c>
      <c r="F464">
        <v>7</v>
      </c>
      <c r="G464">
        <v>7000</v>
      </c>
      <c r="H464" s="11">
        <v>45449</v>
      </c>
      <c r="I464" s="57" t="s">
        <v>89</v>
      </c>
      <c r="J464" s="57" t="s">
        <v>248</v>
      </c>
      <c r="K464" s="57" t="s">
        <v>253</v>
      </c>
      <c r="L464" t="s">
        <v>243</v>
      </c>
    </row>
    <row r="465" spans="1:12" x14ac:dyDescent="0.3">
      <c r="A465" s="57" t="s">
        <v>728</v>
      </c>
      <c r="B465" s="57" t="s">
        <v>273</v>
      </c>
      <c r="C465" s="57" t="s">
        <v>237</v>
      </c>
      <c r="D465" s="57" t="s">
        <v>151</v>
      </c>
      <c r="E465" s="57" t="s">
        <v>149</v>
      </c>
      <c r="F465">
        <v>5</v>
      </c>
      <c r="G465">
        <v>5900</v>
      </c>
      <c r="H465" s="11">
        <v>45583</v>
      </c>
      <c r="I465" s="57" t="s">
        <v>266</v>
      </c>
      <c r="J465" s="57" t="s">
        <v>248</v>
      </c>
      <c r="K465" s="57" t="s">
        <v>264</v>
      </c>
      <c r="L465" t="s">
        <v>240</v>
      </c>
    </row>
    <row r="466" spans="1:12" x14ac:dyDescent="0.3">
      <c r="A466" s="57" t="s">
        <v>729</v>
      </c>
      <c r="B466" s="57" t="s">
        <v>262</v>
      </c>
      <c r="C466" s="57" t="s">
        <v>263</v>
      </c>
      <c r="D466" s="57" t="s">
        <v>151</v>
      </c>
      <c r="E466" s="57" t="s">
        <v>260</v>
      </c>
      <c r="F466">
        <v>5</v>
      </c>
      <c r="G466">
        <v>7000</v>
      </c>
      <c r="H466" s="11">
        <v>45557</v>
      </c>
      <c r="I466" s="57" t="s">
        <v>95</v>
      </c>
      <c r="J466" s="57" t="s">
        <v>143</v>
      </c>
      <c r="K466" s="57" t="s">
        <v>197</v>
      </c>
      <c r="L466" t="s">
        <v>243</v>
      </c>
    </row>
    <row r="467" spans="1:12" x14ac:dyDescent="0.3">
      <c r="A467" s="57" t="s">
        <v>730</v>
      </c>
      <c r="B467" s="57" t="s">
        <v>251</v>
      </c>
      <c r="C467" s="57" t="s">
        <v>237</v>
      </c>
      <c r="D467" s="57" t="s">
        <v>238</v>
      </c>
      <c r="E467" s="57" t="s">
        <v>260</v>
      </c>
      <c r="F467">
        <v>9</v>
      </c>
      <c r="G467">
        <v>5900</v>
      </c>
      <c r="H467" s="11">
        <v>45162</v>
      </c>
      <c r="I467" s="57" t="s">
        <v>291</v>
      </c>
      <c r="J467" s="57" t="s">
        <v>145</v>
      </c>
      <c r="K467" s="57" t="s">
        <v>197</v>
      </c>
      <c r="L467" t="s">
        <v>240</v>
      </c>
    </row>
    <row r="468" spans="1:12" x14ac:dyDescent="0.3">
      <c r="A468" s="57" t="s">
        <v>731</v>
      </c>
      <c r="B468" s="57" t="s">
        <v>262</v>
      </c>
      <c r="C468" s="57" t="s">
        <v>263</v>
      </c>
      <c r="D468" s="57" t="s">
        <v>141</v>
      </c>
      <c r="E468" s="57" t="s">
        <v>142</v>
      </c>
      <c r="F468">
        <v>1</v>
      </c>
      <c r="G468">
        <v>5900</v>
      </c>
      <c r="H468" s="11">
        <v>44977</v>
      </c>
      <c r="I468" s="57" t="s">
        <v>92</v>
      </c>
      <c r="J468" s="57" t="s">
        <v>147</v>
      </c>
      <c r="K468" s="57" t="s">
        <v>264</v>
      </c>
      <c r="L468" t="s">
        <v>240</v>
      </c>
    </row>
    <row r="469" spans="1:12" x14ac:dyDescent="0.3">
      <c r="A469" s="57" t="s">
        <v>732</v>
      </c>
      <c r="B469" s="57" t="s">
        <v>273</v>
      </c>
      <c r="C469" s="57" t="s">
        <v>237</v>
      </c>
      <c r="D469" s="57" t="s">
        <v>152</v>
      </c>
      <c r="E469" s="57" t="s">
        <v>149</v>
      </c>
      <c r="F469">
        <v>7</v>
      </c>
      <c r="G469">
        <v>2542</v>
      </c>
      <c r="H469" s="11">
        <v>45028</v>
      </c>
      <c r="I469" s="57" t="s">
        <v>92</v>
      </c>
      <c r="J469" s="57" t="s">
        <v>150</v>
      </c>
      <c r="K469" s="57" t="s">
        <v>264</v>
      </c>
      <c r="L469" t="s">
        <v>258</v>
      </c>
    </row>
    <row r="470" spans="1:12" x14ac:dyDescent="0.3">
      <c r="A470" s="57" t="s">
        <v>733</v>
      </c>
      <c r="B470" s="57" t="s">
        <v>236</v>
      </c>
      <c r="C470" s="57" t="s">
        <v>237</v>
      </c>
      <c r="D470" s="57" t="s">
        <v>238</v>
      </c>
      <c r="E470" s="57" t="s">
        <v>260</v>
      </c>
      <c r="F470">
        <v>0</v>
      </c>
      <c r="G470">
        <v>5900</v>
      </c>
      <c r="H470" s="11">
        <v>45569</v>
      </c>
      <c r="I470" s="57" t="s">
        <v>291</v>
      </c>
      <c r="J470" s="57" t="s">
        <v>248</v>
      </c>
      <c r="K470" s="57" t="s">
        <v>249</v>
      </c>
      <c r="L470" t="s">
        <v>240</v>
      </c>
    </row>
    <row r="471" spans="1:12" x14ac:dyDescent="0.3">
      <c r="A471" s="57" t="s">
        <v>734</v>
      </c>
      <c r="B471" s="57" t="s">
        <v>262</v>
      </c>
      <c r="C471" s="57" t="s">
        <v>263</v>
      </c>
      <c r="D471" s="57" t="s">
        <v>153</v>
      </c>
      <c r="E471" s="57" t="s">
        <v>149</v>
      </c>
      <c r="F471">
        <v>5</v>
      </c>
      <c r="G471">
        <v>1484</v>
      </c>
      <c r="H471" s="11">
        <v>45324</v>
      </c>
      <c r="I471" s="57" t="s">
        <v>257</v>
      </c>
      <c r="J471" s="57" t="s">
        <v>143</v>
      </c>
      <c r="K471" s="57" t="s">
        <v>264</v>
      </c>
      <c r="L471" t="s">
        <v>258</v>
      </c>
    </row>
    <row r="472" spans="1:12" x14ac:dyDescent="0.3">
      <c r="A472" s="57" t="s">
        <v>735</v>
      </c>
      <c r="B472" s="57" t="s">
        <v>262</v>
      </c>
      <c r="C472" s="57" t="s">
        <v>263</v>
      </c>
      <c r="D472" s="57" t="s">
        <v>144</v>
      </c>
      <c r="E472" s="57" t="s">
        <v>260</v>
      </c>
      <c r="F472">
        <v>7</v>
      </c>
      <c r="G472">
        <v>4766</v>
      </c>
      <c r="H472" s="11">
        <v>45102</v>
      </c>
      <c r="I472" s="57" t="s">
        <v>257</v>
      </c>
      <c r="J472" s="57" t="s">
        <v>143</v>
      </c>
      <c r="K472" s="57" t="s">
        <v>239</v>
      </c>
      <c r="L472" t="s">
        <v>240</v>
      </c>
    </row>
    <row r="473" spans="1:12" x14ac:dyDescent="0.3">
      <c r="A473" s="57" t="s">
        <v>736</v>
      </c>
      <c r="B473" s="57" t="s">
        <v>195</v>
      </c>
      <c r="C473" s="57" t="s">
        <v>196</v>
      </c>
      <c r="D473" s="57" t="s">
        <v>238</v>
      </c>
      <c r="E473" s="57" t="s">
        <v>260</v>
      </c>
      <c r="F473">
        <v>5</v>
      </c>
      <c r="G473">
        <v>5900</v>
      </c>
      <c r="H473" s="11">
        <v>45434</v>
      </c>
      <c r="I473" s="57" t="s">
        <v>242</v>
      </c>
      <c r="J473" s="57" t="s">
        <v>150</v>
      </c>
      <c r="K473" s="57" t="s">
        <v>239</v>
      </c>
      <c r="L473" t="s">
        <v>240</v>
      </c>
    </row>
    <row r="474" spans="1:12" x14ac:dyDescent="0.3">
      <c r="A474" s="57" t="s">
        <v>737</v>
      </c>
      <c r="B474" s="57" t="s">
        <v>262</v>
      </c>
      <c r="C474" s="57" t="s">
        <v>263</v>
      </c>
      <c r="D474" s="57" t="s">
        <v>153</v>
      </c>
      <c r="E474" s="57" t="s">
        <v>256</v>
      </c>
      <c r="F474">
        <v>0</v>
      </c>
      <c r="G474">
        <v>7000</v>
      </c>
      <c r="H474" s="11">
        <v>45240</v>
      </c>
      <c r="I474" s="57" t="s">
        <v>92</v>
      </c>
      <c r="J474" s="57" t="s">
        <v>150</v>
      </c>
      <c r="K474" s="57" t="s">
        <v>238</v>
      </c>
      <c r="L474" t="s">
        <v>243</v>
      </c>
    </row>
    <row r="475" spans="1:12" x14ac:dyDescent="0.3">
      <c r="A475" s="57" t="s">
        <v>738</v>
      </c>
      <c r="B475" s="57" t="s">
        <v>273</v>
      </c>
      <c r="C475" s="57" t="s">
        <v>237</v>
      </c>
      <c r="D475" s="57" t="s">
        <v>238</v>
      </c>
      <c r="E475" s="57" t="s">
        <v>142</v>
      </c>
      <c r="F475">
        <v>10</v>
      </c>
      <c r="G475">
        <v>7000</v>
      </c>
      <c r="H475" s="11">
        <v>44943</v>
      </c>
      <c r="I475" s="57" t="s">
        <v>242</v>
      </c>
      <c r="J475" s="57" t="s">
        <v>147</v>
      </c>
      <c r="K475" s="57" t="s">
        <v>253</v>
      </c>
      <c r="L475" t="s">
        <v>243</v>
      </c>
    </row>
    <row r="476" spans="1:12" x14ac:dyDescent="0.3">
      <c r="A476" s="57" t="s">
        <v>739</v>
      </c>
      <c r="B476" s="57" t="s">
        <v>247</v>
      </c>
      <c r="C476" s="57" t="s">
        <v>237</v>
      </c>
      <c r="D476" s="57" t="s">
        <v>148</v>
      </c>
      <c r="E476" s="57" t="s">
        <v>260</v>
      </c>
      <c r="F476">
        <v>10</v>
      </c>
      <c r="G476">
        <v>7000</v>
      </c>
      <c r="H476" s="11">
        <v>44980</v>
      </c>
      <c r="I476" s="57" t="s">
        <v>89</v>
      </c>
      <c r="J476" s="57" t="s">
        <v>145</v>
      </c>
      <c r="K476" s="57" t="s">
        <v>239</v>
      </c>
      <c r="L476" t="s">
        <v>243</v>
      </c>
    </row>
    <row r="477" spans="1:12" x14ac:dyDescent="0.3">
      <c r="A477" s="57" t="s">
        <v>740</v>
      </c>
      <c r="B477" s="57" t="s">
        <v>247</v>
      </c>
      <c r="C477" s="57" t="s">
        <v>237</v>
      </c>
      <c r="D477" s="57" t="s">
        <v>153</v>
      </c>
      <c r="E477" s="57" t="s">
        <v>252</v>
      </c>
      <c r="F477">
        <v>10</v>
      </c>
      <c r="G477">
        <v>5900</v>
      </c>
      <c r="H477" s="11">
        <v>45065</v>
      </c>
      <c r="I477" s="57" t="s">
        <v>89</v>
      </c>
      <c r="J477" s="57" t="s">
        <v>147</v>
      </c>
      <c r="K477" s="57" t="s">
        <v>238</v>
      </c>
      <c r="L477" t="s">
        <v>240</v>
      </c>
    </row>
    <row r="478" spans="1:12" x14ac:dyDescent="0.3">
      <c r="A478" s="57" t="s">
        <v>741</v>
      </c>
      <c r="B478" s="57" t="s">
        <v>247</v>
      </c>
      <c r="C478" s="57" t="s">
        <v>237</v>
      </c>
      <c r="D478" s="57" t="s">
        <v>146</v>
      </c>
      <c r="E478" s="57" t="s">
        <v>260</v>
      </c>
      <c r="F478">
        <v>0</v>
      </c>
      <c r="G478">
        <v>5900</v>
      </c>
      <c r="H478" s="11">
        <v>45522</v>
      </c>
      <c r="I478" s="57" t="s">
        <v>257</v>
      </c>
      <c r="J478" s="57" t="s">
        <v>248</v>
      </c>
      <c r="K478" s="57" t="s">
        <v>238</v>
      </c>
      <c r="L478" t="s">
        <v>240</v>
      </c>
    </row>
    <row r="479" spans="1:12" x14ac:dyDescent="0.3">
      <c r="A479" s="57" t="s">
        <v>742</v>
      </c>
      <c r="B479" s="57" t="s">
        <v>245</v>
      </c>
      <c r="C479" s="57" t="s">
        <v>237</v>
      </c>
      <c r="D479" s="57" t="s">
        <v>238</v>
      </c>
      <c r="E479" s="57" t="s">
        <v>256</v>
      </c>
      <c r="F479">
        <v>7</v>
      </c>
      <c r="G479">
        <v>5900</v>
      </c>
      <c r="H479" s="11">
        <v>45202</v>
      </c>
      <c r="I479" s="57" t="s">
        <v>92</v>
      </c>
      <c r="J479" s="57" t="s">
        <v>143</v>
      </c>
      <c r="K479" s="57" t="s">
        <v>197</v>
      </c>
      <c r="L479" t="s">
        <v>240</v>
      </c>
    </row>
    <row r="480" spans="1:12" x14ac:dyDescent="0.3">
      <c r="A480" s="57" t="s">
        <v>743</v>
      </c>
      <c r="B480" s="57" t="s">
        <v>251</v>
      </c>
      <c r="C480" s="57" t="s">
        <v>237</v>
      </c>
      <c r="D480" s="57" t="s">
        <v>144</v>
      </c>
      <c r="E480" s="57" t="s">
        <v>260</v>
      </c>
      <c r="F480">
        <v>0</v>
      </c>
      <c r="G480">
        <v>999</v>
      </c>
      <c r="H480" s="11">
        <v>45420</v>
      </c>
      <c r="I480" s="57" t="s">
        <v>89</v>
      </c>
      <c r="J480" s="57" t="s">
        <v>145</v>
      </c>
      <c r="K480" s="57" t="s">
        <v>239</v>
      </c>
      <c r="L480" t="s">
        <v>302</v>
      </c>
    </row>
    <row r="481" spans="1:12" x14ac:dyDescent="0.3">
      <c r="A481" s="57" t="s">
        <v>744</v>
      </c>
      <c r="B481" s="57" t="s">
        <v>268</v>
      </c>
      <c r="C481" s="57" t="s">
        <v>269</v>
      </c>
      <c r="D481" s="57" t="s">
        <v>153</v>
      </c>
      <c r="E481" s="57" t="s">
        <v>260</v>
      </c>
      <c r="F481">
        <v>0</v>
      </c>
      <c r="G481">
        <v>7000</v>
      </c>
      <c r="H481" s="11">
        <v>45555</v>
      </c>
      <c r="I481" s="57" t="s">
        <v>242</v>
      </c>
      <c r="J481" s="57" t="s">
        <v>145</v>
      </c>
      <c r="K481" s="57" t="s">
        <v>253</v>
      </c>
      <c r="L481" t="s">
        <v>243</v>
      </c>
    </row>
    <row r="482" spans="1:12" x14ac:dyDescent="0.3">
      <c r="A482" s="57" t="s">
        <v>745</v>
      </c>
      <c r="B482" s="57" t="s">
        <v>268</v>
      </c>
      <c r="C482" s="57" t="s">
        <v>269</v>
      </c>
      <c r="D482" s="57" t="s">
        <v>146</v>
      </c>
      <c r="E482" s="57" t="s">
        <v>256</v>
      </c>
      <c r="F482">
        <v>1</v>
      </c>
      <c r="G482">
        <v>4305</v>
      </c>
      <c r="H482" s="11">
        <v>45451</v>
      </c>
      <c r="I482" s="57" t="s">
        <v>291</v>
      </c>
      <c r="J482" s="57" t="s">
        <v>248</v>
      </c>
      <c r="K482" s="57" t="s">
        <v>249</v>
      </c>
      <c r="L482" t="s">
        <v>240</v>
      </c>
    </row>
    <row r="483" spans="1:12" x14ac:dyDescent="0.3">
      <c r="A483" s="57" t="s">
        <v>746</v>
      </c>
      <c r="B483" s="57" t="s">
        <v>247</v>
      </c>
      <c r="C483" s="57" t="s">
        <v>237</v>
      </c>
      <c r="D483" s="57" t="s">
        <v>146</v>
      </c>
      <c r="E483" s="57" t="s">
        <v>260</v>
      </c>
      <c r="F483">
        <v>5</v>
      </c>
      <c r="G483">
        <v>4414</v>
      </c>
      <c r="H483" s="11">
        <v>45614</v>
      </c>
      <c r="I483" s="57" t="s">
        <v>95</v>
      </c>
      <c r="J483" s="57" t="s">
        <v>143</v>
      </c>
      <c r="K483" s="57" t="s">
        <v>197</v>
      </c>
      <c r="L483" t="s">
        <v>240</v>
      </c>
    </row>
    <row r="484" spans="1:12" x14ac:dyDescent="0.3">
      <c r="A484" s="57" t="s">
        <v>747</v>
      </c>
      <c r="B484" s="57" t="s">
        <v>262</v>
      </c>
      <c r="C484" s="57" t="s">
        <v>263</v>
      </c>
      <c r="D484" s="57" t="s">
        <v>153</v>
      </c>
      <c r="E484" s="57" t="s">
        <v>142</v>
      </c>
      <c r="F484">
        <v>0</v>
      </c>
      <c r="G484">
        <v>7000</v>
      </c>
      <c r="H484" s="11">
        <v>45279</v>
      </c>
      <c r="I484" s="57" t="s">
        <v>89</v>
      </c>
      <c r="J484" s="57" t="s">
        <v>248</v>
      </c>
      <c r="K484" s="57" t="s">
        <v>239</v>
      </c>
      <c r="L484" t="s">
        <v>243</v>
      </c>
    </row>
    <row r="485" spans="1:12" x14ac:dyDescent="0.3">
      <c r="A485" s="57" t="s">
        <v>748</v>
      </c>
      <c r="B485" s="57" t="s">
        <v>255</v>
      </c>
      <c r="C485" s="57" t="s">
        <v>237</v>
      </c>
      <c r="D485" s="57" t="s">
        <v>152</v>
      </c>
      <c r="E485" s="57" t="s">
        <v>260</v>
      </c>
      <c r="F485">
        <v>1</v>
      </c>
      <c r="G485">
        <v>7000</v>
      </c>
      <c r="H485" s="11">
        <v>45202</v>
      </c>
      <c r="I485" s="57" t="s">
        <v>89</v>
      </c>
      <c r="J485" s="57" t="s">
        <v>248</v>
      </c>
      <c r="K485" s="57" t="s">
        <v>197</v>
      </c>
      <c r="L485" t="s">
        <v>243</v>
      </c>
    </row>
    <row r="486" spans="1:12" x14ac:dyDescent="0.3">
      <c r="A486" s="57" t="s">
        <v>749</v>
      </c>
      <c r="B486" s="57" t="s">
        <v>247</v>
      </c>
      <c r="C486" s="57" t="s">
        <v>237</v>
      </c>
      <c r="D486" s="57" t="s">
        <v>151</v>
      </c>
      <c r="E486" s="57" t="s">
        <v>149</v>
      </c>
      <c r="F486">
        <v>5</v>
      </c>
      <c r="G486">
        <v>7000</v>
      </c>
      <c r="H486" s="11">
        <v>45310</v>
      </c>
      <c r="I486" s="57" t="s">
        <v>89</v>
      </c>
      <c r="J486" s="57" t="s">
        <v>145</v>
      </c>
      <c r="K486" s="57" t="s">
        <v>238</v>
      </c>
      <c r="L486" t="s">
        <v>243</v>
      </c>
    </row>
    <row r="487" spans="1:12" x14ac:dyDescent="0.3">
      <c r="A487" s="57" t="s">
        <v>750</v>
      </c>
      <c r="B487" s="57" t="s">
        <v>273</v>
      </c>
      <c r="C487" s="57" t="s">
        <v>237</v>
      </c>
      <c r="D487" s="57" t="s">
        <v>238</v>
      </c>
      <c r="E487" s="57" t="s">
        <v>252</v>
      </c>
      <c r="F487">
        <v>10</v>
      </c>
      <c r="G487">
        <v>7000</v>
      </c>
      <c r="H487" s="11">
        <v>45374</v>
      </c>
      <c r="I487" s="57" t="s">
        <v>291</v>
      </c>
      <c r="J487" s="57" t="s">
        <v>150</v>
      </c>
      <c r="K487" s="57" t="s">
        <v>239</v>
      </c>
      <c r="L487" t="s">
        <v>243</v>
      </c>
    </row>
    <row r="488" spans="1:12" x14ac:dyDescent="0.3">
      <c r="A488" s="57" t="s">
        <v>751</v>
      </c>
      <c r="B488" s="57" t="s">
        <v>236</v>
      </c>
      <c r="C488" s="57" t="s">
        <v>237</v>
      </c>
      <c r="D488" s="57" t="s">
        <v>146</v>
      </c>
      <c r="E488" s="57" t="s">
        <v>149</v>
      </c>
      <c r="F488">
        <v>5</v>
      </c>
      <c r="G488">
        <v>7000</v>
      </c>
      <c r="H488" s="11">
        <v>44971</v>
      </c>
      <c r="I488" s="57" t="s">
        <v>92</v>
      </c>
      <c r="J488" s="57" t="s">
        <v>150</v>
      </c>
      <c r="K488" s="57" t="s">
        <v>197</v>
      </c>
      <c r="L488" t="s">
        <v>243</v>
      </c>
    </row>
    <row r="489" spans="1:12" x14ac:dyDescent="0.3">
      <c r="A489" s="57" t="s">
        <v>752</v>
      </c>
      <c r="B489" s="57" t="s">
        <v>273</v>
      </c>
      <c r="C489" s="57" t="s">
        <v>237</v>
      </c>
      <c r="D489" s="57" t="s">
        <v>141</v>
      </c>
      <c r="E489" s="57" t="s">
        <v>252</v>
      </c>
      <c r="F489">
        <v>7</v>
      </c>
      <c r="G489">
        <v>7000</v>
      </c>
      <c r="H489" s="11">
        <v>45523</v>
      </c>
      <c r="I489" s="57" t="s">
        <v>257</v>
      </c>
      <c r="J489" s="57" t="s">
        <v>147</v>
      </c>
      <c r="K489" s="57" t="s">
        <v>238</v>
      </c>
      <c r="L489" t="s">
        <v>243</v>
      </c>
    </row>
    <row r="490" spans="1:12" x14ac:dyDescent="0.3">
      <c r="A490" s="57" t="s">
        <v>753</v>
      </c>
      <c r="B490" s="57" t="s">
        <v>251</v>
      </c>
      <c r="C490" s="57" t="s">
        <v>237</v>
      </c>
      <c r="D490" s="57" t="s">
        <v>141</v>
      </c>
      <c r="E490" s="57" t="s">
        <v>260</v>
      </c>
      <c r="F490">
        <v>4</v>
      </c>
      <c r="G490">
        <v>7000</v>
      </c>
      <c r="H490" s="11">
        <v>45253</v>
      </c>
      <c r="I490" s="57" t="s">
        <v>291</v>
      </c>
      <c r="J490" s="57" t="s">
        <v>150</v>
      </c>
      <c r="K490" s="57" t="s">
        <v>238</v>
      </c>
      <c r="L490" t="s">
        <v>243</v>
      </c>
    </row>
    <row r="491" spans="1:12" x14ac:dyDescent="0.3">
      <c r="A491" s="57" t="s">
        <v>754</v>
      </c>
      <c r="B491" s="57" t="s">
        <v>251</v>
      </c>
      <c r="C491" s="57" t="s">
        <v>237</v>
      </c>
      <c r="D491" s="57" t="s">
        <v>238</v>
      </c>
      <c r="E491" s="57" t="s">
        <v>260</v>
      </c>
      <c r="F491">
        <v>10</v>
      </c>
      <c r="G491">
        <v>7000</v>
      </c>
      <c r="H491" s="11">
        <v>45030</v>
      </c>
      <c r="I491" s="57" t="s">
        <v>89</v>
      </c>
      <c r="J491" s="57" t="s">
        <v>143</v>
      </c>
      <c r="K491" s="57" t="s">
        <v>197</v>
      </c>
      <c r="L491" t="s">
        <v>243</v>
      </c>
    </row>
    <row r="492" spans="1:12" x14ac:dyDescent="0.3">
      <c r="A492" s="57" t="s">
        <v>755</v>
      </c>
      <c r="B492" s="57" t="s">
        <v>255</v>
      </c>
      <c r="C492" s="57" t="s">
        <v>237</v>
      </c>
      <c r="D492" s="57" t="s">
        <v>238</v>
      </c>
      <c r="E492" s="57" t="s">
        <v>256</v>
      </c>
      <c r="F492">
        <v>0</v>
      </c>
      <c r="G492">
        <v>7000</v>
      </c>
      <c r="H492" s="11">
        <v>45422</v>
      </c>
      <c r="I492" s="57" t="s">
        <v>242</v>
      </c>
      <c r="J492" s="57" t="s">
        <v>145</v>
      </c>
      <c r="K492" s="57" t="s">
        <v>249</v>
      </c>
      <c r="L492" t="s">
        <v>243</v>
      </c>
    </row>
    <row r="493" spans="1:12" x14ac:dyDescent="0.3">
      <c r="A493" s="57" t="s">
        <v>756</v>
      </c>
      <c r="B493" s="57" t="s">
        <v>251</v>
      </c>
      <c r="C493" s="57" t="s">
        <v>237</v>
      </c>
      <c r="D493" s="57" t="s">
        <v>152</v>
      </c>
      <c r="E493" s="57" t="s">
        <v>142</v>
      </c>
      <c r="F493">
        <v>10</v>
      </c>
      <c r="G493">
        <v>5900</v>
      </c>
      <c r="H493" s="11">
        <v>45098</v>
      </c>
      <c r="I493" s="57" t="s">
        <v>242</v>
      </c>
      <c r="J493" s="57" t="s">
        <v>143</v>
      </c>
      <c r="K493" s="57" t="s">
        <v>238</v>
      </c>
      <c r="L493" t="s">
        <v>240</v>
      </c>
    </row>
    <row r="494" spans="1:12" x14ac:dyDescent="0.3">
      <c r="A494" s="57" t="s">
        <v>757</v>
      </c>
      <c r="B494" s="57" t="s">
        <v>195</v>
      </c>
      <c r="C494" s="57" t="s">
        <v>196</v>
      </c>
      <c r="D494" s="57" t="s">
        <v>238</v>
      </c>
      <c r="E494" s="57" t="s">
        <v>142</v>
      </c>
      <c r="F494">
        <v>10</v>
      </c>
      <c r="G494">
        <v>4192</v>
      </c>
      <c r="H494" s="11">
        <v>45071</v>
      </c>
      <c r="I494" s="57" t="s">
        <v>92</v>
      </c>
      <c r="J494" s="57" t="s">
        <v>248</v>
      </c>
      <c r="K494" s="57" t="s">
        <v>197</v>
      </c>
      <c r="L494" t="s">
        <v>240</v>
      </c>
    </row>
    <row r="495" spans="1:12" x14ac:dyDescent="0.3">
      <c r="A495" s="57" t="s">
        <v>758</v>
      </c>
      <c r="B495" s="57" t="s">
        <v>262</v>
      </c>
      <c r="C495" s="57" t="s">
        <v>263</v>
      </c>
      <c r="D495" s="57" t="s">
        <v>153</v>
      </c>
      <c r="E495" s="57" t="s">
        <v>149</v>
      </c>
      <c r="F495">
        <v>0</v>
      </c>
      <c r="G495">
        <v>7000</v>
      </c>
      <c r="H495" s="11">
        <v>45263</v>
      </c>
      <c r="I495" s="57" t="s">
        <v>92</v>
      </c>
      <c r="J495" s="57" t="s">
        <v>147</v>
      </c>
      <c r="K495" s="57" t="s">
        <v>239</v>
      </c>
      <c r="L495" t="s">
        <v>243</v>
      </c>
    </row>
    <row r="496" spans="1:12" x14ac:dyDescent="0.3">
      <c r="A496" s="57" t="s">
        <v>759</v>
      </c>
      <c r="B496" s="57" t="s">
        <v>251</v>
      </c>
      <c r="C496" s="57" t="s">
        <v>237</v>
      </c>
      <c r="D496" s="57" t="s">
        <v>148</v>
      </c>
      <c r="E496" s="57" t="s">
        <v>260</v>
      </c>
      <c r="F496">
        <v>5</v>
      </c>
      <c r="G496">
        <v>7000</v>
      </c>
      <c r="H496" s="11">
        <v>45313</v>
      </c>
      <c r="I496" s="57" t="s">
        <v>242</v>
      </c>
      <c r="J496" s="57" t="s">
        <v>147</v>
      </c>
      <c r="K496" s="57" t="s">
        <v>249</v>
      </c>
      <c r="L496" t="s">
        <v>243</v>
      </c>
    </row>
    <row r="497" spans="1:12" x14ac:dyDescent="0.3">
      <c r="A497" s="57" t="s">
        <v>760</v>
      </c>
      <c r="B497" s="57" t="s">
        <v>262</v>
      </c>
      <c r="C497" s="57" t="s">
        <v>263</v>
      </c>
      <c r="D497" s="57" t="s">
        <v>153</v>
      </c>
      <c r="E497" s="57" t="s">
        <v>252</v>
      </c>
      <c r="F497">
        <v>7</v>
      </c>
      <c r="G497">
        <v>378</v>
      </c>
      <c r="H497" s="11">
        <v>45015</v>
      </c>
      <c r="I497" s="57" t="s">
        <v>92</v>
      </c>
      <c r="J497" s="57" t="s">
        <v>145</v>
      </c>
      <c r="K497" s="57" t="s">
        <v>197</v>
      </c>
      <c r="L497" t="s">
        <v>302</v>
      </c>
    </row>
    <row r="498" spans="1:12" x14ac:dyDescent="0.3">
      <c r="A498" s="57" t="s">
        <v>761</v>
      </c>
      <c r="B498" s="57" t="s">
        <v>255</v>
      </c>
      <c r="C498" s="57" t="s">
        <v>237</v>
      </c>
      <c r="D498" s="57" t="s">
        <v>238</v>
      </c>
      <c r="E498" s="57" t="s">
        <v>260</v>
      </c>
      <c r="F498">
        <v>7</v>
      </c>
      <c r="G498">
        <v>7000</v>
      </c>
      <c r="H498" s="11">
        <v>45222</v>
      </c>
      <c r="I498" s="57" t="s">
        <v>266</v>
      </c>
      <c r="J498" s="57" t="s">
        <v>145</v>
      </c>
      <c r="K498" s="57" t="s">
        <v>264</v>
      </c>
      <c r="L498" t="s">
        <v>243</v>
      </c>
    </row>
    <row r="499" spans="1:12" x14ac:dyDescent="0.3">
      <c r="A499" s="57" t="s">
        <v>762</v>
      </c>
      <c r="B499" s="57" t="s">
        <v>251</v>
      </c>
      <c r="C499" s="57" t="s">
        <v>237</v>
      </c>
      <c r="D499" s="57" t="s">
        <v>146</v>
      </c>
      <c r="E499" s="57" t="s">
        <v>260</v>
      </c>
      <c r="F499">
        <v>7</v>
      </c>
      <c r="G499">
        <v>7000</v>
      </c>
      <c r="H499" s="11">
        <v>45565</v>
      </c>
      <c r="I499" s="57" t="s">
        <v>291</v>
      </c>
      <c r="J499" s="57" t="s">
        <v>150</v>
      </c>
      <c r="K499" s="57" t="s">
        <v>249</v>
      </c>
      <c r="L499" t="s">
        <v>243</v>
      </c>
    </row>
    <row r="500" spans="1:12" x14ac:dyDescent="0.3">
      <c r="A500" s="57" t="s">
        <v>763</v>
      </c>
      <c r="B500" s="57" t="s">
        <v>195</v>
      </c>
      <c r="C500" s="57" t="s">
        <v>196</v>
      </c>
      <c r="D500" s="57" t="s">
        <v>146</v>
      </c>
      <c r="E500" s="57" t="s">
        <v>142</v>
      </c>
      <c r="F500">
        <v>7</v>
      </c>
      <c r="G500">
        <v>5900</v>
      </c>
      <c r="H500" s="11">
        <v>45415</v>
      </c>
      <c r="I500" s="57" t="s">
        <v>242</v>
      </c>
      <c r="J500" s="57" t="s">
        <v>143</v>
      </c>
      <c r="K500" s="57" t="s">
        <v>239</v>
      </c>
      <c r="L500" t="s">
        <v>240</v>
      </c>
    </row>
    <row r="501" spans="1:12" x14ac:dyDescent="0.3">
      <c r="A501" s="57" t="s">
        <v>764</v>
      </c>
      <c r="B501" s="57" t="s">
        <v>245</v>
      </c>
      <c r="C501" s="57" t="s">
        <v>237</v>
      </c>
      <c r="D501" s="57" t="s">
        <v>146</v>
      </c>
      <c r="E501" s="57" t="s">
        <v>252</v>
      </c>
      <c r="F501">
        <v>5</v>
      </c>
      <c r="G501">
        <v>7000</v>
      </c>
      <c r="H501" s="11">
        <v>45529</v>
      </c>
      <c r="I501" s="57" t="s">
        <v>95</v>
      </c>
      <c r="J501" s="57" t="s">
        <v>248</v>
      </c>
      <c r="K501" s="57" t="s">
        <v>253</v>
      </c>
      <c r="L501" t="s">
        <v>243</v>
      </c>
    </row>
    <row r="502" spans="1:12" x14ac:dyDescent="0.3">
      <c r="A502" s="57" t="s">
        <v>765</v>
      </c>
      <c r="B502" s="57" t="s">
        <v>268</v>
      </c>
      <c r="C502" s="57" t="s">
        <v>269</v>
      </c>
      <c r="D502" s="57" t="s">
        <v>141</v>
      </c>
      <c r="E502" s="57" t="s">
        <v>252</v>
      </c>
      <c r="F502">
        <v>0</v>
      </c>
      <c r="G502">
        <v>4042</v>
      </c>
      <c r="H502" s="11">
        <v>45265</v>
      </c>
      <c r="I502" s="57" t="s">
        <v>95</v>
      </c>
      <c r="J502" s="57" t="s">
        <v>145</v>
      </c>
      <c r="K502" s="57" t="s">
        <v>238</v>
      </c>
      <c r="L502" t="s">
        <v>240</v>
      </c>
    </row>
    <row r="503" spans="1:12" x14ac:dyDescent="0.3">
      <c r="A503" s="57" t="s">
        <v>766</v>
      </c>
      <c r="B503" s="57" t="s">
        <v>247</v>
      </c>
      <c r="C503" s="57" t="s">
        <v>237</v>
      </c>
      <c r="D503" s="57" t="s">
        <v>151</v>
      </c>
      <c r="E503" s="57" t="s">
        <v>260</v>
      </c>
      <c r="F503">
        <v>7</v>
      </c>
      <c r="G503">
        <v>7000</v>
      </c>
      <c r="H503" s="11">
        <v>45265</v>
      </c>
      <c r="I503" s="57" t="s">
        <v>266</v>
      </c>
      <c r="J503" s="57" t="s">
        <v>147</v>
      </c>
      <c r="K503" s="57" t="s">
        <v>249</v>
      </c>
      <c r="L503" t="s">
        <v>243</v>
      </c>
    </row>
    <row r="504" spans="1:12" x14ac:dyDescent="0.3">
      <c r="A504" s="57" t="s">
        <v>767</v>
      </c>
      <c r="B504" s="57" t="s">
        <v>255</v>
      </c>
      <c r="C504" s="57" t="s">
        <v>237</v>
      </c>
      <c r="D504" s="57" t="s">
        <v>238</v>
      </c>
      <c r="E504" s="57" t="s">
        <v>149</v>
      </c>
      <c r="F504">
        <v>5</v>
      </c>
      <c r="G504">
        <v>4958</v>
      </c>
      <c r="H504" s="11">
        <v>45615</v>
      </c>
      <c r="I504" s="57" t="s">
        <v>242</v>
      </c>
      <c r="J504" s="57" t="s">
        <v>150</v>
      </c>
      <c r="K504" s="57" t="s">
        <v>239</v>
      </c>
      <c r="L504" t="s">
        <v>240</v>
      </c>
    </row>
    <row r="505" spans="1:12" x14ac:dyDescent="0.3">
      <c r="A505" s="57" t="s">
        <v>768</v>
      </c>
      <c r="B505" s="57" t="s">
        <v>245</v>
      </c>
      <c r="C505" s="57" t="s">
        <v>237</v>
      </c>
      <c r="D505" s="57" t="s">
        <v>238</v>
      </c>
      <c r="E505" s="57" t="s">
        <v>256</v>
      </c>
      <c r="F505">
        <v>0</v>
      </c>
      <c r="G505">
        <v>2875</v>
      </c>
      <c r="H505" s="11">
        <v>45490</v>
      </c>
      <c r="I505" s="57" t="s">
        <v>291</v>
      </c>
      <c r="J505" s="57" t="s">
        <v>150</v>
      </c>
      <c r="K505" s="57" t="s">
        <v>238</v>
      </c>
      <c r="L505" t="s">
        <v>258</v>
      </c>
    </row>
    <row r="506" spans="1:12" x14ac:dyDescent="0.3">
      <c r="A506" s="57" t="s">
        <v>769</v>
      </c>
      <c r="B506" s="57" t="s">
        <v>273</v>
      </c>
      <c r="C506" s="57" t="s">
        <v>237</v>
      </c>
      <c r="D506" s="57" t="s">
        <v>148</v>
      </c>
      <c r="E506" s="57" t="s">
        <v>260</v>
      </c>
      <c r="F506">
        <v>5</v>
      </c>
      <c r="G506">
        <v>5900</v>
      </c>
      <c r="H506" s="11">
        <v>44932</v>
      </c>
      <c r="I506" s="57" t="s">
        <v>89</v>
      </c>
      <c r="J506" s="57" t="s">
        <v>150</v>
      </c>
      <c r="K506" s="57" t="s">
        <v>249</v>
      </c>
      <c r="L506" t="s">
        <v>240</v>
      </c>
    </row>
    <row r="507" spans="1:12" x14ac:dyDescent="0.3">
      <c r="A507" s="57" t="s">
        <v>770</v>
      </c>
      <c r="B507" s="57" t="s">
        <v>195</v>
      </c>
      <c r="C507" s="57" t="s">
        <v>196</v>
      </c>
      <c r="D507" s="57" t="s">
        <v>238</v>
      </c>
      <c r="E507" s="57" t="s">
        <v>252</v>
      </c>
      <c r="F507">
        <v>5</v>
      </c>
      <c r="G507">
        <v>7000</v>
      </c>
      <c r="H507" s="11">
        <v>45016</v>
      </c>
      <c r="I507" s="57" t="s">
        <v>92</v>
      </c>
      <c r="J507" s="57" t="s">
        <v>150</v>
      </c>
      <c r="K507" s="57" t="s">
        <v>197</v>
      </c>
      <c r="L507" t="s">
        <v>243</v>
      </c>
    </row>
    <row r="508" spans="1:12" x14ac:dyDescent="0.3">
      <c r="A508" s="57" t="s">
        <v>771</v>
      </c>
      <c r="B508" s="57" t="s">
        <v>273</v>
      </c>
      <c r="C508" s="57" t="s">
        <v>237</v>
      </c>
      <c r="D508" s="57" t="s">
        <v>144</v>
      </c>
      <c r="E508" s="57" t="s">
        <v>149</v>
      </c>
      <c r="F508">
        <v>5</v>
      </c>
      <c r="G508">
        <v>7000</v>
      </c>
      <c r="H508" s="11">
        <v>45404</v>
      </c>
      <c r="I508" s="57" t="s">
        <v>266</v>
      </c>
      <c r="J508" s="57" t="s">
        <v>147</v>
      </c>
      <c r="K508" s="57" t="s">
        <v>249</v>
      </c>
      <c r="L508" t="s">
        <v>243</v>
      </c>
    </row>
    <row r="509" spans="1:12" x14ac:dyDescent="0.3">
      <c r="A509" s="57" t="s">
        <v>772</v>
      </c>
      <c r="B509" s="57" t="s">
        <v>273</v>
      </c>
      <c r="C509" s="57" t="s">
        <v>237</v>
      </c>
      <c r="D509" s="57" t="s">
        <v>153</v>
      </c>
      <c r="E509" s="57" t="s">
        <v>256</v>
      </c>
      <c r="F509">
        <v>2</v>
      </c>
      <c r="G509">
        <v>7000</v>
      </c>
      <c r="H509" s="11">
        <v>45360</v>
      </c>
      <c r="I509" s="57" t="s">
        <v>266</v>
      </c>
      <c r="J509" s="57" t="s">
        <v>248</v>
      </c>
      <c r="K509" s="57" t="s">
        <v>239</v>
      </c>
      <c r="L509" t="s">
        <v>243</v>
      </c>
    </row>
    <row r="510" spans="1:12" x14ac:dyDescent="0.3">
      <c r="A510" s="57" t="s">
        <v>773</v>
      </c>
      <c r="B510" s="57" t="s">
        <v>262</v>
      </c>
      <c r="C510" s="57" t="s">
        <v>263</v>
      </c>
      <c r="D510" s="57" t="s">
        <v>148</v>
      </c>
      <c r="E510" s="57" t="s">
        <v>252</v>
      </c>
      <c r="F510">
        <v>0</v>
      </c>
      <c r="G510">
        <v>5900</v>
      </c>
      <c r="H510" s="11">
        <v>45006</v>
      </c>
      <c r="I510" s="57" t="s">
        <v>89</v>
      </c>
      <c r="J510" s="57" t="s">
        <v>145</v>
      </c>
      <c r="K510" s="57" t="s">
        <v>239</v>
      </c>
      <c r="L510" t="s">
        <v>240</v>
      </c>
    </row>
    <row r="511" spans="1:12" x14ac:dyDescent="0.3">
      <c r="A511" s="57" t="s">
        <v>774</v>
      </c>
      <c r="B511" s="57" t="s">
        <v>255</v>
      </c>
      <c r="C511" s="57" t="s">
        <v>237</v>
      </c>
      <c r="D511" s="57" t="s">
        <v>238</v>
      </c>
      <c r="E511" s="57" t="s">
        <v>256</v>
      </c>
      <c r="F511">
        <v>5</v>
      </c>
      <c r="G511">
        <v>5900</v>
      </c>
      <c r="H511" s="11">
        <v>45179</v>
      </c>
      <c r="I511" s="57" t="s">
        <v>242</v>
      </c>
      <c r="J511" s="57" t="s">
        <v>150</v>
      </c>
      <c r="K511" s="57" t="s">
        <v>197</v>
      </c>
      <c r="L511" t="s">
        <v>240</v>
      </c>
    </row>
    <row r="512" spans="1:12" x14ac:dyDescent="0.3">
      <c r="A512" s="57" t="s">
        <v>775</v>
      </c>
      <c r="B512" s="57" t="s">
        <v>273</v>
      </c>
      <c r="C512" s="57" t="s">
        <v>237</v>
      </c>
      <c r="D512" s="57" t="s">
        <v>141</v>
      </c>
      <c r="E512" s="57" t="s">
        <v>149</v>
      </c>
      <c r="F512">
        <v>7</v>
      </c>
      <c r="G512">
        <v>7000</v>
      </c>
      <c r="H512" s="11">
        <v>45554</v>
      </c>
      <c r="I512" s="57" t="s">
        <v>100</v>
      </c>
      <c r="J512" s="57" t="s">
        <v>143</v>
      </c>
      <c r="K512" s="57" t="s">
        <v>239</v>
      </c>
      <c r="L512" t="s">
        <v>243</v>
      </c>
    </row>
    <row r="513" spans="1:12" x14ac:dyDescent="0.3">
      <c r="A513" s="57" t="s">
        <v>776</v>
      </c>
      <c r="B513" s="57" t="s">
        <v>195</v>
      </c>
      <c r="C513" s="57" t="s">
        <v>196</v>
      </c>
      <c r="D513" s="57" t="s">
        <v>238</v>
      </c>
      <c r="E513" s="57" t="s">
        <v>252</v>
      </c>
      <c r="F513">
        <v>4</v>
      </c>
      <c r="G513">
        <v>7000</v>
      </c>
      <c r="H513" s="11">
        <v>44992</v>
      </c>
      <c r="I513" s="57" t="s">
        <v>257</v>
      </c>
      <c r="J513" s="57" t="s">
        <v>248</v>
      </c>
      <c r="K513" s="57" t="s">
        <v>264</v>
      </c>
      <c r="L513" t="s">
        <v>243</v>
      </c>
    </row>
    <row r="514" spans="1:12" x14ac:dyDescent="0.3">
      <c r="A514" s="57" t="s">
        <v>777</v>
      </c>
      <c r="B514" s="57" t="s">
        <v>275</v>
      </c>
      <c r="C514" s="57" t="s">
        <v>276</v>
      </c>
      <c r="D514" s="57" t="s">
        <v>153</v>
      </c>
      <c r="E514" s="57" t="s">
        <v>149</v>
      </c>
      <c r="F514">
        <v>10</v>
      </c>
      <c r="G514">
        <v>1653</v>
      </c>
      <c r="H514" s="11">
        <v>45077</v>
      </c>
      <c r="I514" s="57" t="s">
        <v>89</v>
      </c>
      <c r="J514" s="57" t="s">
        <v>143</v>
      </c>
      <c r="K514" s="57" t="s">
        <v>197</v>
      </c>
      <c r="L514" t="s">
        <v>258</v>
      </c>
    </row>
    <row r="515" spans="1:12" x14ac:dyDescent="0.3">
      <c r="A515" s="57" t="s">
        <v>778</v>
      </c>
      <c r="B515" s="57" t="s">
        <v>275</v>
      </c>
      <c r="C515" s="57" t="s">
        <v>276</v>
      </c>
      <c r="D515" s="57" t="s">
        <v>146</v>
      </c>
      <c r="E515" s="57" t="s">
        <v>260</v>
      </c>
      <c r="F515">
        <v>10</v>
      </c>
      <c r="G515">
        <v>5900</v>
      </c>
      <c r="H515" s="11">
        <v>45341</v>
      </c>
      <c r="I515" s="57" t="s">
        <v>100</v>
      </c>
      <c r="J515" s="57" t="s">
        <v>145</v>
      </c>
      <c r="K515" s="57" t="s">
        <v>264</v>
      </c>
      <c r="L515" t="s">
        <v>240</v>
      </c>
    </row>
    <row r="516" spans="1:12" x14ac:dyDescent="0.3">
      <c r="A516" s="57" t="s">
        <v>779</v>
      </c>
      <c r="B516" s="57" t="s">
        <v>245</v>
      </c>
      <c r="C516" s="57" t="s">
        <v>237</v>
      </c>
      <c r="D516" s="57" t="s">
        <v>144</v>
      </c>
      <c r="E516" s="57" t="s">
        <v>142</v>
      </c>
      <c r="F516">
        <v>10</v>
      </c>
      <c r="G516">
        <v>7000</v>
      </c>
      <c r="H516" s="11">
        <v>45368</v>
      </c>
      <c r="I516" s="57" t="s">
        <v>291</v>
      </c>
      <c r="J516" s="57" t="s">
        <v>147</v>
      </c>
      <c r="K516" s="57" t="s">
        <v>197</v>
      </c>
      <c r="L516" t="s">
        <v>243</v>
      </c>
    </row>
    <row r="517" spans="1:12" x14ac:dyDescent="0.3">
      <c r="A517" s="57" t="s">
        <v>780</v>
      </c>
      <c r="B517" s="57" t="s">
        <v>251</v>
      </c>
      <c r="C517" s="57" t="s">
        <v>237</v>
      </c>
      <c r="D517" s="57" t="s">
        <v>238</v>
      </c>
      <c r="E517" s="57" t="s">
        <v>260</v>
      </c>
      <c r="F517">
        <v>4</v>
      </c>
      <c r="G517">
        <v>7000</v>
      </c>
      <c r="H517" s="11">
        <v>45400</v>
      </c>
      <c r="I517" s="57" t="s">
        <v>257</v>
      </c>
      <c r="J517" s="57" t="s">
        <v>150</v>
      </c>
      <c r="K517" s="57" t="s">
        <v>238</v>
      </c>
      <c r="L517" t="s">
        <v>243</v>
      </c>
    </row>
    <row r="518" spans="1:12" x14ac:dyDescent="0.3">
      <c r="A518" s="57" t="s">
        <v>781</v>
      </c>
      <c r="B518" s="57" t="s">
        <v>236</v>
      </c>
      <c r="C518" s="57" t="s">
        <v>237</v>
      </c>
      <c r="D518" s="57" t="s">
        <v>238</v>
      </c>
      <c r="E518" s="57" t="s">
        <v>142</v>
      </c>
      <c r="F518">
        <v>0</v>
      </c>
      <c r="G518">
        <v>7000</v>
      </c>
      <c r="H518" s="11">
        <v>45263</v>
      </c>
      <c r="I518" s="57" t="s">
        <v>242</v>
      </c>
      <c r="J518" s="57" t="s">
        <v>248</v>
      </c>
      <c r="K518" s="57" t="s">
        <v>253</v>
      </c>
      <c r="L518" t="s">
        <v>243</v>
      </c>
    </row>
    <row r="519" spans="1:12" x14ac:dyDescent="0.3">
      <c r="A519" s="57" t="s">
        <v>782</v>
      </c>
      <c r="B519" s="57" t="s">
        <v>262</v>
      </c>
      <c r="C519" s="57" t="s">
        <v>263</v>
      </c>
      <c r="D519" s="57" t="s">
        <v>152</v>
      </c>
      <c r="E519" s="57" t="s">
        <v>256</v>
      </c>
      <c r="F519">
        <v>0</v>
      </c>
      <c r="G519">
        <v>7000</v>
      </c>
      <c r="H519" s="11">
        <v>45359</v>
      </c>
      <c r="I519" s="57" t="s">
        <v>242</v>
      </c>
      <c r="J519" s="57" t="s">
        <v>143</v>
      </c>
      <c r="K519" s="57" t="s">
        <v>253</v>
      </c>
      <c r="L519" t="s">
        <v>243</v>
      </c>
    </row>
    <row r="520" spans="1:12" x14ac:dyDescent="0.3">
      <c r="A520" s="57" t="s">
        <v>783</v>
      </c>
      <c r="B520" s="57" t="s">
        <v>195</v>
      </c>
      <c r="C520" s="57" t="s">
        <v>196</v>
      </c>
      <c r="D520" s="57" t="s">
        <v>141</v>
      </c>
      <c r="E520" s="57" t="s">
        <v>149</v>
      </c>
      <c r="F520">
        <v>10</v>
      </c>
      <c r="G520">
        <v>7000</v>
      </c>
      <c r="H520" s="11">
        <v>45265</v>
      </c>
      <c r="I520" s="57" t="s">
        <v>266</v>
      </c>
      <c r="J520" s="57" t="s">
        <v>145</v>
      </c>
      <c r="K520" s="57" t="s">
        <v>197</v>
      </c>
      <c r="L520" t="s">
        <v>243</v>
      </c>
    </row>
    <row r="521" spans="1:12" x14ac:dyDescent="0.3">
      <c r="A521" s="57" t="s">
        <v>784</v>
      </c>
      <c r="B521" s="57" t="s">
        <v>273</v>
      </c>
      <c r="C521" s="57" t="s">
        <v>237</v>
      </c>
      <c r="D521" s="57" t="s">
        <v>238</v>
      </c>
      <c r="E521" s="57" t="s">
        <v>260</v>
      </c>
      <c r="F521">
        <v>5</v>
      </c>
      <c r="G521">
        <v>5900</v>
      </c>
      <c r="H521" s="11">
        <v>45452</v>
      </c>
      <c r="I521" s="57" t="s">
        <v>291</v>
      </c>
      <c r="J521" s="57" t="s">
        <v>145</v>
      </c>
      <c r="K521" s="57" t="s">
        <v>238</v>
      </c>
      <c r="L521" t="s">
        <v>240</v>
      </c>
    </row>
    <row r="522" spans="1:12" x14ac:dyDescent="0.3">
      <c r="A522" s="57" t="s">
        <v>785</v>
      </c>
      <c r="B522" s="57" t="s">
        <v>268</v>
      </c>
      <c r="C522" s="57" t="s">
        <v>269</v>
      </c>
      <c r="D522" s="57" t="s">
        <v>144</v>
      </c>
      <c r="E522" s="57" t="s">
        <v>260</v>
      </c>
      <c r="F522">
        <v>7</v>
      </c>
      <c r="G522">
        <v>2216</v>
      </c>
      <c r="H522" s="11">
        <v>45119</v>
      </c>
      <c r="I522" s="57" t="s">
        <v>100</v>
      </c>
      <c r="J522" s="57" t="s">
        <v>147</v>
      </c>
      <c r="K522" s="57" t="s">
        <v>239</v>
      </c>
      <c r="L522" t="s">
        <v>258</v>
      </c>
    </row>
    <row r="523" spans="1:12" x14ac:dyDescent="0.3">
      <c r="A523" s="57" t="s">
        <v>786</v>
      </c>
      <c r="B523" s="57" t="s">
        <v>245</v>
      </c>
      <c r="C523" s="57" t="s">
        <v>237</v>
      </c>
      <c r="D523" s="57" t="s">
        <v>146</v>
      </c>
      <c r="E523" s="57" t="s">
        <v>142</v>
      </c>
      <c r="F523">
        <v>5</v>
      </c>
      <c r="G523">
        <v>7000</v>
      </c>
      <c r="H523" s="11">
        <v>45211</v>
      </c>
      <c r="I523" s="57" t="s">
        <v>291</v>
      </c>
      <c r="J523" s="57" t="s">
        <v>150</v>
      </c>
      <c r="K523" s="57" t="s">
        <v>253</v>
      </c>
      <c r="L523" t="s">
        <v>243</v>
      </c>
    </row>
    <row r="524" spans="1:12" x14ac:dyDescent="0.3">
      <c r="A524" s="57" t="s">
        <v>787</v>
      </c>
      <c r="B524" s="57" t="s">
        <v>236</v>
      </c>
      <c r="C524" s="57" t="s">
        <v>237</v>
      </c>
      <c r="D524" s="57" t="s">
        <v>238</v>
      </c>
      <c r="E524" s="57" t="s">
        <v>256</v>
      </c>
      <c r="F524">
        <v>2</v>
      </c>
      <c r="G524">
        <v>2238</v>
      </c>
      <c r="H524" s="11">
        <v>45407</v>
      </c>
      <c r="I524" s="57" t="s">
        <v>92</v>
      </c>
      <c r="J524" s="57" t="s">
        <v>248</v>
      </c>
      <c r="K524" s="57" t="s">
        <v>197</v>
      </c>
      <c r="L524" t="s">
        <v>258</v>
      </c>
    </row>
    <row r="525" spans="1:12" x14ac:dyDescent="0.3">
      <c r="A525" s="57" t="s">
        <v>788</v>
      </c>
      <c r="B525" s="57" t="s">
        <v>245</v>
      </c>
      <c r="C525" s="57" t="s">
        <v>237</v>
      </c>
      <c r="D525" s="57" t="s">
        <v>238</v>
      </c>
      <c r="E525" s="57" t="s">
        <v>149</v>
      </c>
      <c r="F525">
        <v>10</v>
      </c>
      <c r="G525">
        <v>7000</v>
      </c>
      <c r="H525" s="11">
        <v>45119</v>
      </c>
      <c r="I525" s="57" t="s">
        <v>95</v>
      </c>
      <c r="J525" s="57" t="s">
        <v>248</v>
      </c>
      <c r="K525" s="57" t="s">
        <v>239</v>
      </c>
      <c r="L525" t="s">
        <v>243</v>
      </c>
    </row>
    <row r="526" spans="1:12" x14ac:dyDescent="0.3">
      <c r="A526" s="57" t="s">
        <v>789</v>
      </c>
      <c r="B526" s="57" t="s">
        <v>236</v>
      </c>
      <c r="C526" s="57" t="s">
        <v>237</v>
      </c>
      <c r="D526" s="57" t="s">
        <v>146</v>
      </c>
      <c r="E526" s="57" t="s">
        <v>149</v>
      </c>
      <c r="F526">
        <v>10</v>
      </c>
      <c r="G526">
        <v>7000</v>
      </c>
      <c r="H526" s="11">
        <v>45445</v>
      </c>
      <c r="I526" s="57" t="s">
        <v>89</v>
      </c>
      <c r="J526" s="57" t="s">
        <v>143</v>
      </c>
      <c r="K526" s="57" t="s">
        <v>249</v>
      </c>
      <c r="L526" t="s">
        <v>243</v>
      </c>
    </row>
    <row r="527" spans="1:12" x14ac:dyDescent="0.3">
      <c r="A527" s="57" t="s">
        <v>790</v>
      </c>
      <c r="B527" s="57" t="s">
        <v>245</v>
      </c>
      <c r="C527" s="57" t="s">
        <v>237</v>
      </c>
      <c r="D527" s="57" t="s">
        <v>238</v>
      </c>
      <c r="E527" s="57" t="s">
        <v>149</v>
      </c>
      <c r="F527">
        <v>8</v>
      </c>
      <c r="G527">
        <v>2749</v>
      </c>
      <c r="H527" s="11">
        <v>45278</v>
      </c>
      <c r="I527" s="57" t="s">
        <v>95</v>
      </c>
      <c r="J527" s="57" t="s">
        <v>248</v>
      </c>
      <c r="K527" s="57" t="s">
        <v>238</v>
      </c>
      <c r="L527" t="s">
        <v>258</v>
      </c>
    </row>
    <row r="528" spans="1:12" x14ac:dyDescent="0.3">
      <c r="A528" s="57" t="s">
        <v>791</v>
      </c>
      <c r="B528" s="57" t="s">
        <v>251</v>
      </c>
      <c r="C528" s="57" t="s">
        <v>237</v>
      </c>
      <c r="D528" s="57" t="s">
        <v>238</v>
      </c>
      <c r="E528" s="57" t="s">
        <v>260</v>
      </c>
      <c r="F528">
        <v>10</v>
      </c>
      <c r="G528">
        <v>7000</v>
      </c>
      <c r="H528" s="11">
        <v>45547</v>
      </c>
      <c r="I528" s="57" t="s">
        <v>242</v>
      </c>
      <c r="J528" s="57" t="s">
        <v>145</v>
      </c>
      <c r="K528" s="57" t="s">
        <v>197</v>
      </c>
      <c r="L528" t="s">
        <v>243</v>
      </c>
    </row>
    <row r="529" spans="1:12" x14ac:dyDescent="0.3">
      <c r="A529" s="57" t="s">
        <v>792</v>
      </c>
      <c r="B529" s="57" t="s">
        <v>262</v>
      </c>
      <c r="C529" s="57" t="s">
        <v>263</v>
      </c>
      <c r="D529" s="57" t="s">
        <v>151</v>
      </c>
      <c r="E529" s="57" t="s">
        <v>149</v>
      </c>
      <c r="F529">
        <v>6</v>
      </c>
      <c r="G529">
        <v>5900</v>
      </c>
      <c r="H529" s="11">
        <v>45271</v>
      </c>
      <c r="I529" s="57" t="s">
        <v>92</v>
      </c>
      <c r="J529" s="57" t="s">
        <v>147</v>
      </c>
      <c r="K529" s="57" t="s">
        <v>253</v>
      </c>
      <c r="L529" t="s">
        <v>240</v>
      </c>
    </row>
    <row r="530" spans="1:12" x14ac:dyDescent="0.3">
      <c r="A530" s="57" t="s">
        <v>793</v>
      </c>
      <c r="B530" s="57" t="s">
        <v>275</v>
      </c>
      <c r="C530" s="57" t="s">
        <v>276</v>
      </c>
      <c r="D530" s="57" t="s">
        <v>238</v>
      </c>
      <c r="E530" s="57" t="s">
        <v>252</v>
      </c>
      <c r="F530">
        <v>5</v>
      </c>
      <c r="G530">
        <v>3943</v>
      </c>
      <c r="H530" s="11">
        <v>45475</v>
      </c>
      <c r="I530" s="57" t="s">
        <v>95</v>
      </c>
      <c r="J530" s="57" t="s">
        <v>150</v>
      </c>
      <c r="K530" s="57" t="s">
        <v>197</v>
      </c>
      <c r="L530" t="s">
        <v>258</v>
      </c>
    </row>
    <row r="531" spans="1:12" x14ac:dyDescent="0.3">
      <c r="A531" s="57" t="s">
        <v>794</v>
      </c>
      <c r="B531" s="57" t="s">
        <v>247</v>
      </c>
      <c r="C531" s="57" t="s">
        <v>237</v>
      </c>
      <c r="D531" s="57" t="s">
        <v>238</v>
      </c>
      <c r="E531" s="57" t="s">
        <v>142</v>
      </c>
      <c r="F531">
        <v>0</v>
      </c>
      <c r="G531">
        <v>5900</v>
      </c>
      <c r="H531" s="11">
        <v>45618</v>
      </c>
      <c r="I531" s="57" t="s">
        <v>242</v>
      </c>
      <c r="J531" s="57" t="s">
        <v>147</v>
      </c>
      <c r="K531" s="57" t="s">
        <v>239</v>
      </c>
      <c r="L531" t="s">
        <v>240</v>
      </c>
    </row>
    <row r="532" spans="1:12" x14ac:dyDescent="0.3">
      <c r="A532" s="57" t="s">
        <v>795</v>
      </c>
      <c r="B532" s="57" t="s">
        <v>251</v>
      </c>
      <c r="C532" s="57" t="s">
        <v>237</v>
      </c>
      <c r="D532" s="57" t="s">
        <v>238</v>
      </c>
      <c r="E532" s="57" t="s">
        <v>252</v>
      </c>
      <c r="F532">
        <v>0</v>
      </c>
      <c r="G532">
        <v>7000</v>
      </c>
      <c r="H532" s="11">
        <v>45386</v>
      </c>
      <c r="I532" s="57" t="s">
        <v>291</v>
      </c>
      <c r="J532" s="57" t="s">
        <v>147</v>
      </c>
      <c r="K532" s="57" t="s">
        <v>238</v>
      </c>
      <c r="L532" t="s">
        <v>243</v>
      </c>
    </row>
    <row r="533" spans="1:12" x14ac:dyDescent="0.3">
      <c r="A533" s="57" t="s">
        <v>796</v>
      </c>
      <c r="B533" s="57" t="s">
        <v>251</v>
      </c>
      <c r="C533" s="57" t="s">
        <v>237</v>
      </c>
      <c r="D533" s="57" t="s">
        <v>238</v>
      </c>
      <c r="E533" s="57" t="s">
        <v>142</v>
      </c>
      <c r="F533">
        <v>2</v>
      </c>
      <c r="G533">
        <v>1108</v>
      </c>
      <c r="H533" s="11">
        <v>45070</v>
      </c>
      <c r="I533" s="57" t="s">
        <v>257</v>
      </c>
      <c r="J533" s="57" t="s">
        <v>248</v>
      </c>
      <c r="K533" s="57" t="s">
        <v>264</v>
      </c>
      <c r="L533" t="s">
        <v>258</v>
      </c>
    </row>
    <row r="534" spans="1:12" x14ac:dyDescent="0.3">
      <c r="A534" s="57" t="s">
        <v>797</v>
      </c>
      <c r="B534" s="57" t="s">
        <v>195</v>
      </c>
      <c r="C534" s="57" t="s">
        <v>196</v>
      </c>
      <c r="D534" s="57" t="s">
        <v>148</v>
      </c>
      <c r="E534" s="57" t="s">
        <v>260</v>
      </c>
      <c r="F534">
        <v>4</v>
      </c>
      <c r="G534">
        <v>7000</v>
      </c>
      <c r="H534" s="11">
        <v>45064</v>
      </c>
      <c r="I534" s="57" t="s">
        <v>92</v>
      </c>
      <c r="J534" s="57" t="s">
        <v>147</v>
      </c>
      <c r="K534" s="57" t="s">
        <v>264</v>
      </c>
      <c r="L534" t="s">
        <v>243</v>
      </c>
    </row>
    <row r="535" spans="1:12" x14ac:dyDescent="0.3">
      <c r="A535" s="57" t="s">
        <v>798</v>
      </c>
      <c r="B535" s="57" t="s">
        <v>195</v>
      </c>
      <c r="C535" s="57" t="s">
        <v>196</v>
      </c>
      <c r="D535" s="57" t="s">
        <v>144</v>
      </c>
      <c r="E535" s="57" t="s">
        <v>142</v>
      </c>
      <c r="F535">
        <v>7</v>
      </c>
      <c r="G535">
        <v>3794</v>
      </c>
      <c r="H535" s="11">
        <v>45251</v>
      </c>
      <c r="I535" s="57" t="s">
        <v>266</v>
      </c>
      <c r="J535" s="57" t="s">
        <v>150</v>
      </c>
      <c r="K535" s="57" t="s">
        <v>253</v>
      </c>
      <c r="L535" t="s">
        <v>258</v>
      </c>
    </row>
    <row r="536" spans="1:12" x14ac:dyDescent="0.3">
      <c r="A536" s="57" t="s">
        <v>799</v>
      </c>
      <c r="B536" s="57" t="s">
        <v>273</v>
      </c>
      <c r="C536" s="57" t="s">
        <v>237</v>
      </c>
      <c r="D536" s="57" t="s">
        <v>238</v>
      </c>
      <c r="E536" s="57" t="s">
        <v>252</v>
      </c>
      <c r="F536">
        <v>0</v>
      </c>
      <c r="G536">
        <v>2704</v>
      </c>
      <c r="H536" s="11">
        <v>45125</v>
      </c>
      <c r="I536" s="57" t="s">
        <v>242</v>
      </c>
      <c r="J536" s="57" t="s">
        <v>143</v>
      </c>
      <c r="K536" s="57" t="s">
        <v>238</v>
      </c>
      <c r="L536" t="s">
        <v>258</v>
      </c>
    </row>
    <row r="537" spans="1:12" x14ac:dyDescent="0.3">
      <c r="A537" s="57" t="s">
        <v>800</v>
      </c>
      <c r="B537" s="57" t="s">
        <v>195</v>
      </c>
      <c r="C537" s="57" t="s">
        <v>196</v>
      </c>
      <c r="D537" s="57" t="s">
        <v>146</v>
      </c>
      <c r="E537" s="57" t="s">
        <v>149</v>
      </c>
      <c r="F537">
        <v>0</v>
      </c>
      <c r="G537">
        <v>7000</v>
      </c>
      <c r="H537" s="11">
        <v>45218</v>
      </c>
      <c r="I537" s="57" t="s">
        <v>100</v>
      </c>
      <c r="J537" s="57" t="s">
        <v>150</v>
      </c>
      <c r="K537" s="57" t="s">
        <v>264</v>
      </c>
      <c r="L537" t="s">
        <v>243</v>
      </c>
    </row>
    <row r="538" spans="1:12" x14ac:dyDescent="0.3">
      <c r="A538" s="57" t="s">
        <v>801</v>
      </c>
      <c r="B538" s="57" t="s">
        <v>268</v>
      </c>
      <c r="C538" s="57" t="s">
        <v>269</v>
      </c>
      <c r="D538" s="57" t="s">
        <v>148</v>
      </c>
      <c r="E538" s="57" t="s">
        <v>252</v>
      </c>
      <c r="F538">
        <v>7</v>
      </c>
      <c r="G538">
        <v>7000</v>
      </c>
      <c r="H538" s="11">
        <v>44969</v>
      </c>
      <c r="I538" s="57" t="s">
        <v>95</v>
      </c>
      <c r="J538" s="57" t="s">
        <v>150</v>
      </c>
      <c r="K538" s="57" t="s">
        <v>239</v>
      </c>
      <c r="L538" t="s">
        <v>243</v>
      </c>
    </row>
    <row r="539" spans="1:12" x14ac:dyDescent="0.3">
      <c r="A539" s="57" t="s">
        <v>802</v>
      </c>
      <c r="B539" s="57" t="s">
        <v>245</v>
      </c>
      <c r="C539" s="57" t="s">
        <v>237</v>
      </c>
      <c r="D539" s="57" t="s">
        <v>152</v>
      </c>
      <c r="E539" s="57" t="s">
        <v>256</v>
      </c>
      <c r="F539">
        <v>3</v>
      </c>
      <c r="G539">
        <v>2490</v>
      </c>
      <c r="H539" s="11">
        <v>45384</v>
      </c>
      <c r="I539" s="57" t="s">
        <v>266</v>
      </c>
      <c r="J539" s="57" t="s">
        <v>143</v>
      </c>
      <c r="K539" s="57" t="s">
        <v>197</v>
      </c>
      <c r="L539" t="s">
        <v>258</v>
      </c>
    </row>
    <row r="540" spans="1:12" x14ac:dyDescent="0.3">
      <c r="A540" s="57" t="s">
        <v>803</v>
      </c>
      <c r="B540" s="57" t="s">
        <v>247</v>
      </c>
      <c r="C540" s="57" t="s">
        <v>237</v>
      </c>
      <c r="D540" s="57" t="s">
        <v>148</v>
      </c>
      <c r="E540" s="57" t="s">
        <v>142</v>
      </c>
      <c r="F540">
        <v>0</v>
      </c>
      <c r="G540">
        <v>1364</v>
      </c>
      <c r="H540" s="11">
        <v>45069</v>
      </c>
      <c r="I540" s="57" t="s">
        <v>92</v>
      </c>
      <c r="J540" s="57" t="s">
        <v>143</v>
      </c>
      <c r="K540" s="57" t="s">
        <v>197</v>
      </c>
      <c r="L540" t="s">
        <v>258</v>
      </c>
    </row>
    <row r="541" spans="1:12" x14ac:dyDescent="0.3">
      <c r="A541" s="57" t="s">
        <v>804</v>
      </c>
      <c r="B541" s="57" t="s">
        <v>268</v>
      </c>
      <c r="C541" s="57" t="s">
        <v>269</v>
      </c>
      <c r="D541" s="57" t="s">
        <v>146</v>
      </c>
      <c r="E541" s="57" t="s">
        <v>252</v>
      </c>
      <c r="F541">
        <v>10</v>
      </c>
      <c r="G541">
        <v>5900</v>
      </c>
      <c r="H541" s="11">
        <v>45329</v>
      </c>
      <c r="I541" s="57" t="s">
        <v>266</v>
      </c>
      <c r="J541" s="57" t="s">
        <v>147</v>
      </c>
      <c r="K541" s="57" t="s">
        <v>238</v>
      </c>
      <c r="L541" t="s">
        <v>240</v>
      </c>
    </row>
    <row r="542" spans="1:12" x14ac:dyDescent="0.3">
      <c r="A542" s="57" t="s">
        <v>805</v>
      </c>
      <c r="B542" s="57" t="s">
        <v>273</v>
      </c>
      <c r="C542" s="57" t="s">
        <v>237</v>
      </c>
      <c r="D542" s="57" t="s">
        <v>148</v>
      </c>
      <c r="E542" s="57" t="s">
        <v>260</v>
      </c>
      <c r="F542">
        <v>10</v>
      </c>
      <c r="G542">
        <v>2896</v>
      </c>
      <c r="H542" s="11">
        <v>45592</v>
      </c>
      <c r="I542" s="57" t="s">
        <v>242</v>
      </c>
      <c r="J542" s="57" t="s">
        <v>143</v>
      </c>
      <c r="K542" s="57" t="s">
        <v>238</v>
      </c>
      <c r="L542" t="s">
        <v>258</v>
      </c>
    </row>
    <row r="543" spans="1:12" x14ac:dyDescent="0.3">
      <c r="A543" s="57" t="s">
        <v>806</v>
      </c>
      <c r="B543" s="57" t="s">
        <v>195</v>
      </c>
      <c r="C543" s="57" t="s">
        <v>196</v>
      </c>
      <c r="D543" s="57" t="s">
        <v>152</v>
      </c>
      <c r="E543" s="57" t="s">
        <v>142</v>
      </c>
      <c r="F543">
        <v>7</v>
      </c>
      <c r="G543">
        <v>7000</v>
      </c>
      <c r="H543" s="11">
        <v>45365</v>
      </c>
      <c r="I543" s="57" t="s">
        <v>89</v>
      </c>
      <c r="J543" s="57" t="s">
        <v>143</v>
      </c>
      <c r="K543" s="57" t="s">
        <v>249</v>
      </c>
      <c r="L543" t="s">
        <v>243</v>
      </c>
    </row>
    <row r="544" spans="1:12" x14ac:dyDescent="0.3">
      <c r="A544" s="57" t="s">
        <v>807</v>
      </c>
      <c r="B544" s="57" t="s">
        <v>245</v>
      </c>
      <c r="C544" s="57" t="s">
        <v>237</v>
      </c>
      <c r="D544" s="57" t="s">
        <v>146</v>
      </c>
      <c r="E544" s="57" t="s">
        <v>149</v>
      </c>
      <c r="F544">
        <v>7</v>
      </c>
      <c r="G544">
        <v>7000</v>
      </c>
      <c r="H544" s="11">
        <v>45185</v>
      </c>
      <c r="I544" s="57" t="s">
        <v>92</v>
      </c>
      <c r="J544" s="57" t="s">
        <v>143</v>
      </c>
      <c r="K544" s="57" t="s">
        <v>238</v>
      </c>
      <c r="L544" t="s">
        <v>243</v>
      </c>
    </row>
    <row r="545" spans="1:12" x14ac:dyDescent="0.3">
      <c r="A545" s="57" t="s">
        <v>808</v>
      </c>
      <c r="B545" s="57" t="s">
        <v>247</v>
      </c>
      <c r="C545" s="57" t="s">
        <v>237</v>
      </c>
      <c r="D545" s="57" t="s">
        <v>238</v>
      </c>
      <c r="E545" s="57" t="s">
        <v>256</v>
      </c>
      <c r="F545">
        <v>5</v>
      </c>
      <c r="G545">
        <v>7000</v>
      </c>
      <c r="H545" s="11">
        <v>45071</v>
      </c>
      <c r="I545" s="57" t="s">
        <v>257</v>
      </c>
      <c r="J545" s="57" t="s">
        <v>248</v>
      </c>
      <c r="K545" s="57" t="s">
        <v>197</v>
      </c>
      <c r="L545" t="s">
        <v>243</v>
      </c>
    </row>
    <row r="546" spans="1:12" x14ac:dyDescent="0.3">
      <c r="A546" s="57" t="s">
        <v>809</v>
      </c>
      <c r="B546" s="57" t="s">
        <v>273</v>
      </c>
      <c r="C546" s="57" t="s">
        <v>237</v>
      </c>
      <c r="D546" s="57" t="s">
        <v>141</v>
      </c>
      <c r="E546" s="57" t="s">
        <v>260</v>
      </c>
      <c r="F546">
        <v>0</v>
      </c>
      <c r="G546">
        <v>5900</v>
      </c>
      <c r="H546" s="11">
        <v>45318</v>
      </c>
      <c r="I546" s="57" t="s">
        <v>89</v>
      </c>
      <c r="J546" s="57" t="s">
        <v>150</v>
      </c>
      <c r="K546" s="57" t="s">
        <v>197</v>
      </c>
      <c r="L546" t="s">
        <v>240</v>
      </c>
    </row>
    <row r="547" spans="1:12" x14ac:dyDescent="0.3">
      <c r="A547" s="57" t="s">
        <v>810</v>
      </c>
      <c r="B547" s="57" t="s">
        <v>247</v>
      </c>
      <c r="C547" s="57" t="s">
        <v>237</v>
      </c>
      <c r="D547" s="57" t="s">
        <v>146</v>
      </c>
      <c r="E547" s="57" t="s">
        <v>149</v>
      </c>
      <c r="F547">
        <v>5</v>
      </c>
      <c r="G547">
        <v>7000</v>
      </c>
      <c r="H547" s="11">
        <v>45402</v>
      </c>
      <c r="I547" s="57" t="s">
        <v>92</v>
      </c>
      <c r="J547" s="57" t="s">
        <v>150</v>
      </c>
      <c r="K547" s="57" t="s">
        <v>239</v>
      </c>
      <c r="L547" t="s">
        <v>243</v>
      </c>
    </row>
    <row r="548" spans="1:12" x14ac:dyDescent="0.3">
      <c r="A548" s="57" t="s">
        <v>811</v>
      </c>
      <c r="B548" s="57" t="s">
        <v>195</v>
      </c>
      <c r="C548" s="57" t="s">
        <v>196</v>
      </c>
      <c r="D548" s="57" t="s">
        <v>144</v>
      </c>
      <c r="E548" s="57" t="s">
        <v>149</v>
      </c>
      <c r="F548">
        <v>0</v>
      </c>
      <c r="G548">
        <v>7000</v>
      </c>
      <c r="H548" s="11">
        <v>45415</v>
      </c>
      <c r="I548" s="57" t="s">
        <v>242</v>
      </c>
      <c r="J548" s="57" t="s">
        <v>147</v>
      </c>
      <c r="K548" s="57" t="s">
        <v>197</v>
      </c>
      <c r="L548" t="s">
        <v>243</v>
      </c>
    </row>
    <row r="549" spans="1:12" x14ac:dyDescent="0.3">
      <c r="A549" s="57" t="s">
        <v>812</v>
      </c>
      <c r="B549" s="57" t="s">
        <v>251</v>
      </c>
      <c r="C549" s="57" t="s">
        <v>237</v>
      </c>
      <c r="D549" s="57" t="s">
        <v>238</v>
      </c>
      <c r="E549" s="57" t="s">
        <v>256</v>
      </c>
      <c r="F549">
        <v>9</v>
      </c>
      <c r="G549">
        <v>5900</v>
      </c>
      <c r="H549" s="11">
        <v>45618</v>
      </c>
      <c r="I549" s="57" t="s">
        <v>242</v>
      </c>
      <c r="J549" s="57" t="s">
        <v>248</v>
      </c>
      <c r="K549" s="57" t="s">
        <v>238</v>
      </c>
      <c r="L549" t="s">
        <v>240</v>
      </c>
    </row>
    <row r="550" spans="1:12" x14ac:dyDescent="0.3">
      <c r="A550" s="57" t="s">
        <v>813</v>
      </c>
      <c r="B550" s="57" t="s">
        <v>275</v>
      </c>
      <c r="C550" s="57" t="s">
        <v>276</v>
      </c>
      <c r="D550" s="57" t="s">
        <v>153</v>
      </c>
      <c r="E550" s="57" t="s">
        <v>260</v>
      </c>
      <c r="F550">
        <v>0</v>
      </c>
      <c r="G550">
        <v>7000</v>
      </c>
      <c r="H550" s="11">
        <v>45311</v>
      </c>
      <c r="I550" s="57" t="s">
        <v>291</v>
      </c>
      <c r="J550" s="57" t="s">
        <v>143</v>
      </c>
      <c r="K550" s="57" t="s">
        <v>249</v>
      </c>
      <c r="L550" t="s">
        <v>243</v>
      </c>
    </row>
    <row r="551" spans="1:12" x14ac:dyDescent="0.3">
      <c r="A551" s="57" t="s">
        <v>814</v>
      </c>
      <c r="B551" s="57" t="s">
        <v>262</v>
      </c>
      <c r="C551" s="57" t="s">
        <v>263</v>
      </c>
      <c r="D551" s="57" t="s">
        <v>238</v>
      </c>
      <c r="E551" s="57" t="s">
        <v>149</v>
      </c>
      <c r="F551">
        <v>10</v>
      </c>
      <c r="G551">
        <v>7000</v>
      </c>
      <c r="H551" s="11">
        <v>45618</v>
      </c>
      <c r="I551" s="57" t="s">
        <v>291</v>
      </c>
      <c r="J551" s="57" t="s">
        <v>147</v>
      </c>
      <c r="K551" s="57" t="s">
        <v>239</v>
      </c>
      <c r="L551" t="s">
        <v>243</v>
      </c>
    </row>
    <row r="552" spans="1:12" x14ac:dyDescent="0.3">
      <c r="A552" s="57" t="s">
        <v>815</v>
      </c>
      <c r="B552" s="57" t="s">
        <v>247</v>
      </c>
      <c r="C552" s="57" t="s">
        <v>237</v>
      </c>
      <c r="D552" s="57" t="s">
        <v>238</v>
      </c>
      <c r="E552" s="57" t="s">
        <v>142</v>
      </c>
      <c r="F552">
        <v>0</v>
      </c>
      <c r="G552">
        <v>1028</v>
      </c>
      <c r="H552" s="11">
        <v>45196</v>
      </c>
      <c r="I552" s="57" t="s">
        <v>100</v>
      </c>
      <c r="J552" s="57" t="s">
        <v>147</v>
      </c>
      <c r="K552" s="57" t="s">
        <v>253</v>
      </c>
      <c r="L552" t="s">
        <v>258</v>
      </c>
    </row>
    <row r="553" spans="1:12" x14ac:dyDescent="0.3">
      <c r="A553" s="57" t="s">
        <v>816</v>
      </c>
      <c r="B553" s="57" t="s">
        <v>275</v>
      </c>
      <c r="C553" s="57" t="s">
        <v>276</v>
      </c>
      <c r="D553" s="57" t="s">
        <v>238</v>
      </c>
      <c r="E553" s="57" t="s">
        <v>149</v>
      </c>
      <c r="F553">
        <v>5</v>
      </c>
      <c r="G553">
        <v>7000</v>
      </c>
      <c r="H553" s="11">
        <v>45188</v>
      </c>
      <c r="I553" s="57" t="s">
        <v>257</v>
      </c>
      <c r="J553" s="57" t="s">
        <v>248</v>
      </c>
      <c r="K553" s="57" t="s">
        <v>253</v>
      </c>
      <c r="L553" t="s">
        <v>243</v>
      </c>
    </row>
    <row r="554" spans="1:12" x14ac:dyDescent="0.3">
      <c r="A554" s="57" t="s">
        <v>817</v>
      </c>
      <c r="B554" s="57" t="s">
        <v>247</v>
      </c>
      <c r="C554" s="57" t="s">
        <v>237</v>
      </c>
      <c r="D554" s="57" t="s">
        <v>144</v>
      </c>
      <c r="E554" s="57" t="s">
        <v>149</v>
      </c>
      <c r="F554">
        <v>0</v>
      </c>
      <c r="G554">
        <v>7000</v>
      </c>
      <c r="H554" s="11">
        <v>45049</v>
      </c>
      <c r="I554" s="57" t="s">
        <v>291</v>
      </c>
      <c r="J554" s="57" t="s">
        <v>248</v>
      </c>
      <c r="K554" s="57" t="s">
        <v>197</v>
      </c>
      <c r="L554" t="s">
        <v>243</v>
      </c>
    </row>
    <row r="555" spans="1:12" x14ac:dyDescent="0.3">
      <c r="A555" s="57" t="s">
        <v>818</v>
      </c>
      <c r="B555" s="57" t="s">
        <v>273</v>
      </c>
      <c r="C555" s="57" t="s">
        <v>237</v>
      </c>
      <c r="D555" s="57" t="s">
        <v>144</v>
      </c>
      <c r="E555" s="57" t="s">
        <v>142</v>
      </c>
      <c r="F555">
        <v>5</v>
      </c>
      <c r="G555">
        <v>5900</v>
      </c>
      <c r="H555" s="11">
        <v>45620</v>
      </c>
      <c r="I555" s="57" t="s">
        <v>100</v>
      </c>
      <c r="J555" s="57" t="s">
        <v>145</v>
      </c>
      <c r="K555" s="57" t="s">
        <v>197</v>
      </c>
      <c r="L555" t="s">
        <v>240</v>
      </c>
    </row>
    <row r="556" spans="1:12" x14ac:dyDescent="0.3">
      <c r="A556" s="57" t="s">
        <v>819</v>
      </c>
      <c r="B556" s="57" t="s">
        <v>245</v>
      </c>
      <c r="C556" s="57" t="s">
        <v>237</v>
      </c>
      <c r="D556" s="57" t="s">
        <v>238</v>
      </c>
      <c r="E556" s="57" t="s">
        <v>149</v>
      </c>
      <c r="F556">
        <v>0</v>
      </c>
      <c r="G556">
        <v>5900</v>
      </c>
      <c r="H556" s="11">
        <v>45309</v>
      </c>
      <c r="I556" s="57" t="s">
        <v>95</v>
      </c>
      <c r="J556" s="57" t="s">
        <v>147</v>
      </c>
      <c r="K556" s="57" t="s">
        <v>239</v>
      </c>
      <c r="L556" t="s">
        <v>240</v>
      </c>
    </row>
    <row r="557" spans="1:12" x14ac:dyDescent="0.3">
      <c r="A557" s="57" t="s">
        <v>820</v>
      </c>
      <c r="B557" s="57" t="s">
        <v>195</v>
      </c>
      <c r="C557" s="57" t="s">
        <v>196</v>
      </c>
      <c r="D557" s="57" t="s">
        <v>153</v>
      </c>
      <c r="E557" s="57" t="s">
        <v>256</v>
      </c>
      <c r="F557">
        <v>7</v>
      </c>
      <c r="G557">
        <v>5900</v>
      </c>
      <c r="H557" s="11">
        <v>45422</v>
      </c>
      <c r="I557" s="57" t="s">
        <v>291</v>
      </c>
      <c r="J557" s="57" t="s">
        <v>145</v>
      </c>
      <c r="K557" s="57" t="s">
        <v>249</v>
      </c>
      <c r="L557" t="s">
        <v>240</v>
      </c>
    </row>
    <row r="558" spans="1:12" x14ac:dyDescent="0.3">
      <c r="A558" s="57" t="s">
        <v>821</v>
      </c>
      <c r="B558" s="57" t="s">
        <v>275</v>
      </c>
      <c r="C558" s="57" t="s">
        <v>276</v>
      </c>
      <c r="D558" s="57" t="s">
        <v>141</v>
      </c>
      <c r="E558" s="57" t="s">
        <v>260</v>
      </c>
      <c r="F558">
        <v>10</v>
      </c>
      <c r="G558">
        <v>7000</v>
      </c>
      <c r="H558" s="11">
        <v>45263</v>
      </c>
      <c r="I558" s="57" t="s">
        <v>257</v>
      </c>
      <c r="J558" s="57" t="s">
        <v>147</v>
      </c>
      <c r="K558" s="57" t="s">
        <v>197</v>
      </c>
      <c r="L558" t="s">
        <v>243</v>
      </c>
    </row>
    <row r="559" spans="1:12" x14ac:dyDescent="0.3">
      <c r="A559" s="57" t="s">
        <v>822</v>
      </c>
      <c r="B559" s="57" t="s">
        <v>195</v>
      </c>
      <c r="C559" s="57" t="s">
        <v>196</v>
      </c>
      <c r="D559" s="57" t="s">
        <v>144</v>
      </c>
      <c r="E559" s="57" t="s">
        <v>149</v>
      </c>
      <c r="F559">
        <v>0</v>
      </c>
      <c r="G559">
        <v>5900</v>
      </c>
      <c r="H559" s="11">
        <v>45448</v>
      </c>
      <c r="I559" s="57" t="s">
        <v>242</v>
      </c>
      <c r="J559" s="57" t="s">
        <v>145</v>
      </c>
      <c r="K559" s="57" t="s">
        <v>239</v>
      </c>
      <c r="L559" t="s">
        <v>240</v>
      </c>
    </row>
    <row r="560" spans="1:12" x14ac:dyDescent="0.3">
      <c r="A560" s="57" t="s">
        <v>823</v>
      </c>
      <c r="B560" s="57" t="s">
        <v>236</v>
      </c>
      <c r="C560" s="57" t="s">
        <v>237</v>
      </c>
      <c r="D560" s="57" t="s">
        <v>151</v>
      </c>
      <c r="E560" s="57" t="s">
        <v>260</v>
      </c>
      <c r="F560">
        <v>6</v>
      </c>
      <c r="G560">
        <v>5900</v>
      </c>
      <c r="H560" s="11">
        <v>45067</v>
      </c>
      <c r="I560" s="57" t="s">
        <v>92</v>
      </c>
      <c r="J560" s="57" t="s">
        <v>143</v>
      </c>
      <c r="K560" s="57" t="s">
        <v>264</v>
      </c>
      <c r="L560" t="s">
        <v>240</v>
      </c>
    </row>
    <row r="561" spans="1:12" x14ac:dyDescent="0.3">
      <c r="A561" s="57" t="s">
        <v>824</v>
      </c>
      <c r="B561" s="57" t="s">
        <v>236</v>
      </c>
      <c r="C561" s="57" t="s">
        <v>237</v>
      </c>
      <c r="D561" s="57" t="s">
        <v>238</v>
      </c>
      <c r="E561" s="57" t="s">
        <v>149</v>
      </c>
      <c r="F561">
        <v>5</v>
      </c>
      <c r="G561">
        <v>5900</v>
      </c>
      <c r="H561" s="11">
        <v>44927</v>
      </c>
      <c r="I561" s="57" t="s">
        <v>257</v>
      </c>
      <c r="J561" s="57" t="s">
        <v>147</v>
      </c>
      <c r="K561" s="57" t="s">
        <v>239</v>
      </c>
      <c r="L561" t="s">
        <v>240</v>
      </c>
    </row>
    <row r="562" spans="1:12" x14ac:dyDescent="0.3">
      <c r="A562" s="57" t="s">
        <v>825</v>
      </c>
      <c r="B562" s="57" t="s">
        <v>245</v>
      </c>
      <c r="C562" s="57" t="s">
        <v>237</v>
      </c>
      <c r="D562" s="57" t="s">
        <v>141</v>
      </c>
      <c r="E562" s="57" t="s">
        <v>252</v>
      </c>
      <c r="F562">
        <v>7</v>
      </c>
      <c r="G562">
        <v>4047</v>
      </c>
      <c r="H562" s="11">
        <v>45046</v>
      </c>
      <c r="I562" s="57" t="s">
        <v>89</v>
      </c>
      <c r="J562" s="57" t="s">
        <v>147</v>
      </c>
      <c r="K562" s="57" t="s">
        <v>239</v>
      </c>
      <c r="L562" t="s">
        <v>240</v>
      </c>
    </row>
    <row r="563" spans="1:12" x14ac:dyDescent="0.3">
      <c r="A563" s="57" t="s">
        <v>826</v>
      </c>
      <c r="B563" s="57" t="s">
        <v>251</v>
      </c>
      <c r="C563" s="57" t="s">
        <v>237</v>
      </c>
      <c r="D563" s="57" t="s">
        <v>238</v>
      </c>
      <c r="E563" s="57" t="s">
        <v>149</v>
      </c>
      <c r="F563">
        <v>10</v>
      </c>
      <c r="G563">
        <v>5900</v>
      </c>
      <c r="H563" s="11">
        <v>45283</v>
      </c>
      <c r="I563" s="57" t="s">
        <v>89</v>
      </c>
      <c r="J563" s="57" t="s">
        <v>145</v>
      </c>
      <c r="K563" s="57" t="s">
        <v>238</v>
      </c>
      <c r="L563" t="s">
        <v>240</v>
      </c>
    </row>
    <row r="564" spans="1:12" x14ac:dyDescent="0.3">
      <c r="A564" s="57" t="s">
        <v>827</v>
      </c>
      <c r="B564" s="57" t="s">
        <v>245</v>
      </c>
      <c r="C564" s="57" t="s">
        <v>237</v>
      </c>
      <c r="D564" s="57" t="s">
        <v>141</v>
      </c>
      <c r="E564" s="57" t="s">
        <v>142</v>
      </c>
      <c r="F564">
        <v>7</v>
      </c>
      <c r="G564">
        <v>7000</v>
      </c>
      <c r="H564" s="11">
        <v>44980</v>
      </c>
      <c r="I564" s="57" t="s">
        <v>95</v>
      </c>
      <c r="J564" s="57" t="s">
        <v>143</v>
      </c>
      <c r="K564" s="57" t="s">
        <v>197</v>
      </c>
      <c r="L564" t="s">
        <v>243</v>
      </c>
    </row>
    <row r="565" spans="1:12" x14ac:dyDescent="0.3">
      <c r="A565" s="57" t="s">
        <v>828</v>
      </c>
      <c r="B565" s="57" t="s">
        <v>273</v>
      </c>
      <c r="C565" s="57" t="s">
        <v>237</v>
      </c>
      <c r="D565" s="57" t="s">
        <v>141</v>
      </c>
      <c r="E565" s="57" t="s">
        <v>260</v>
      </c>
      <c r="F565">
        <v>7</v>
      </c>
      <c r="G565">
        <v>922</v>
      </c>
      <c r="H565" s="11">
        <v>45422</v>
      </c>
      <c r="I565" s="57" t="s">
        <v>266</v>
      </c>
      <c r="J565" s="57" t="s">
        <v>145</v>
      </c>
      <c r="K565" s="57" t="s">
        <v>238</v>
      </c>
      <c r="L565" t="s">
        <v>302</v>
      </c>
    </row>
    <row r="566" spans="1:12" x14ac:dyDescent="0.3">
      <c r="A566" s="57" t="s">
        <v>829</v>
      </c>
      <c r="B566" s="57" t="s">
        <v>262</v>
      </c>
      <c r="C566" s="57" t="s">
        <v>263</v>
      </c>
      <c r="D566" s="57" t="s">
        <v>151</v>
      </c>
      <c r="E566" s="57" t="s">
        <v>252</v>
      </c>
      <c r="F566">
        <v>5</v>
      </c>
      <c r="G566">
        <v>5900</v>
      </c>
      <c r="H566" s="11">
        <v>45105</v>
      </c>
      <c r="I566" s="57" t="s">
        <v>100</v>
      </c>
      <c r="J566" s="57" t="s">
        <v>248</v>
      </c>
      <c r="K566" s="57" t="s">
        <v>197</v>
      </c>
      <c r="L566" t="s">
        <v>240</v>
      </c>
    </row>
    <row r="567" spans="1:12" x14ac:dyDescent="0.3">
      <c r="A567" s="57" t="s">
        <v>830</v>
      </c>
      <c r="B567" s="57" t="s">
        <v>275</v>
      </c>
      <c r="C567" s="57" t="s">
        <v>276</v>
      </c>
      <c r="D567" s="57" t="s">
        <v>238</v>
      </c>
      <c r="E567" s="57" t="s">
        <v>252</v>
      </c>
      <c r="F567">
        <v>0</v>
      </c>
      <c r="G567">
        <v>7000</v>
      </c>
      <c r="H567" s="11">
        <v>45307</v>
      </c>
      <c r="I567" s="57" t="s">
        <v>89</v>
      </c>
      <c r="J567" s="57" t="s">
        <v>143</v>
      </c>
      <c r="K567" s="57" t="s">
        <v>197</v>
      </c>
      <c r="L567" t="s">
        <v>243</v>
      </c>
    </row>
    <row r="568" spans="1:12" x14ac:dyDescent="0.3">
      <c r="A568" s="57" t="s">
        <v>831</v>
      </c>
      <c r="B568" s="57" t="s">
        <v>195</v>
      </c>
      <c r="C568" s="57" t="s">
        <v>196</v>
      </c>
      <c r="D568" s="57" t="s">
        <v>153</v>
      </c>
      <c r="E568" s="57" t="s">
        <v>260</v>
      </c>
      <c r="F568">
        <v>0</v>
      </c>
      <c r="G568">
        <v>7000</v>
      </c>
      <c r="H568" s="11">
        <v>45543</v>
      </c>
      <c r="I568" s="57" t="s">
        <v>266</v>
      </c>
      <c r="J568" s="57" t="s">
        <v>150</v>
      </c>
      <c r="K568" s="57" t="s">
        <v>197</v>
      </c>
      <c r="L568" t="s">
        <v>243</v>
      </c>
    </row>
    <row r="569" spans="1:12" x14ac:dyDescent="0.3">
      <c r="A569" s="57" t="s">
        <v>832</v>
      </c>
      <c r="B569" s="57" t="s">
        <v>255</v>
      </c>
      <c r="C569" s="57" t="s">
        <v>237</v>
      </c>
      <c r="D569" s="57" t="s">
        <v>146</v>
      </c>
      <c r="E569" s="57" t="s">
        <v>252</v>
      </c>
      <c r="F569">
        <v>7</v>
      </c>
      <c r="G569">
        <v>765</v>
      </c>
      <c r="H569" s="11">
        <v>44966</v>
      </c>
      <c r="I569" s="57" t="s">
        <v>92</v>
      </c>
      <c r="J569" s="57" t="s">
        <v>145</v>
      </c>
      <c r="K569" s="57" t="s">
        <v>249</v>
      </c>
      <c r="L569" t="s">
        <v>302</v>
      </c>
    </row>
    <row r="570" spans="1:12" x14ac:dyDescent="0.3">
      <c r="A570" s="57" t="s">
        <v>833</v>
      </c>
      <c r="B570" s="57" t="s">
        <v>245</v>
      </c>
      <c r="C570" s="57" t="s">
        <v>237</v>
      </c>
      <c r="D570" s="57" t="s">
        <v>148</v>
      </c>
      <c r="E570" s="57" t="s">
        <v>149</v>
      </c>
      <c r="F570">
        <v>2</v>
      </c>
      <c r="G570">
        <v>7000</v>
      </c>
      <c r="H570" s="11">
        <v>45535</v>
      </c>
      <c r="I570" s="57" t="s">
        <v>257</v>
      </c>
      <c r="J570" s="57" t="s">
        <v>150</v>
      </c>
      <c r="K570" s="57" t="s">
        <v>239</v>
      </c>
      <c r="L570" t="s">
        <v>243</v>
      </c>
    </row>
    <row r="571" spans="1:12" x14ac:dyDescent="0.3">
      <c r="A571" s="57" t="s">
        <v>834</v>
      </c>
      <c r="B571" s="57" t="s">
        <v>275</v>
      </c>
      <c r="C571" s="57" t="s">
        <v>276</v>
      </c>
      <c r="D571" s="57" t="s">
        <v>144</v>
      </c>
      <c r="E571" s="57" t="s">
        <v>260</v>
      </c>
      <c r="F571">
        <v>3</v>
      </c>
      <c r="G571">
        <v>5900</v>
      </c>
      <c r="H571" s="11">
        <v>45515</v>
      </c>
      <c r="I571" s="57" t="s">
        <v>100</v>
      </c>
      <c r="J571" s="57" t="s">
        <v>248</v>
      </c>
      <c r="K571" s="57" t="s">
        <v>197</v>
      </c>
      <c r="L571" t="s">
        <v>240</v>
      </c>
    </row>
    <row r="572" spans="1:12" x14ac:dyDescent="0.3">
      <c r="A572" s="57" t="s">
        <v>835</v>
      </c>
      <c r="B572" s="57" t="s">
        <v>247</v>
      </c>
      <c r="C572" s="57" t="s">
        <v>237</v>
      </c>
      <c r="D572" s="57" t="s">
        <v>148</v>
      </c>
      <c r="E572" s="57" t="s">
        <v>260</v>
      </c>
      <c r="F572">
        <v>0</v>
      </c>
      <c r="G572">
        <v>4678</v>
      </c>
      <c r="H572" s="11">
        <v>45615</v>
      </c>
      <c r="I572" s="57" t="s">
        <v>257</v>
      </c>
      <c r="J572" s="57" t="s">
        <v>150</v>
      </c>
      <c r="K572" s="57" t="s">
        <v>239</v>
      </c>
      <c r="L572" t="s">
        <v>240</v>
      </c>
    </row>
    <row r="573" spans="1:12" x14ac:dyDescent="0.3">
      <c r="A573" s="57" t="s">
        <v>836</v>
      </c>
      <c r="B573" s="57" t="s">
        <v>273</v>
      </c>
      <c r="C573" s="57" t="s">
        <v>237</v>
      </c>
      <c r="D573" s="57" t="s">
        <v>141</v>
      </c>
      <c r="E573" s="57" t="s">
        <v>149</v>
      </c>
      <c r="F573">
        <v>7</v>
      </c>
      <c r="G573">
        <v>5900</v>
      </c>
      <c r="H573" s="11">
        <v>45475</v>
      </c>
      <c r="I573" s="57" t="s">
        <v>242</v>
      </c>
      <c r="J573" s="57" t="s">
        <v>145</v>
      </c>
      <c r="K573" s="57" t="s">
        <v>197</v>
      </c>
      <c r="L573" t="s">
        <v>240</v>
      </c>
    </row>
    <row r="574" spans="1:12" x14ac:dyDescent="0.3">
      <c r="A574" s="57" t="s">
        <v>837</v>
      </c>
      <c r="B574" s="57" t="s">
        <v>247</v>
      </c>
      <c r="C574" s="57" t="s">
        <v>237</v>
      </c>
      <c r="D574" s="57" t="s">
        <v>151</v>
      </c>
      <c r="E574" s="57" t="s">
        <v>142</v>
      </c>
      <c r="F574">
        <v>0</v>
      </c>
      <c r="G574">
        <v>7000</v>
      </c>
      <c r="H574" s="11">
        <v>45457</v>
      </c>
      <c r="I574" s="57" t="s">
        <v>89</v>
      </c>
      <c r="J574" s="57" t="s">
        <v>147</v>
      </c>
      <c r="K574" s="57" t="s">
        <v>253</v>
      </c>
      <c r="L574" t="s">
        <v>243</v>
      </c>
    </row>
    <row r="575" spans="1:12" x14ac:dyDescent="0.3">
      <c r="A575" s="57" t="s">
        <v>838</v>
      </c>
      <c r="B575" s="57" t="s">
        <v>247</v>
      </c>
      <c r="C575" s="57" t="s">
        <v>237</v>
      </c>
      <c r="D575" s="57" t="s">
        <v>146</v>
      </c>
      <c r="E575" s="57" t="s">
        <v>149</v>
      </c>
      <c r="F575">
        <v>0</v>
      </c>
      <c r="G575">
        <v>4104</v>
      </c>
      <c r="H575" s="11">
        <v>45544</v>
      </c>
      <c r="I575" s="57" t="s">
        <v>92</v>
      </c>
      <c r="J575" s="57" t="s">
        <v>150</v>
      </c>
      <c r="K575" s="57" t="s">
        <v>239</v>
      </c>
      <c r="L575" t="s">
        <v>240</v>
      </c>
    </row>
    <row r="576" spans="1:12" x14ac:dyDescent="0.3">
      <c r="A576" s="57" t="s">
        <v>839</v>
      </c>
      <c r="B576" s="57" t="s">
        <v>255</v>
      </c>
      <c r="C576" s="57" t="s">
        <v>237</v>
      </c>
      <c r="D576" s="57" t="s">
        <v>238</v>
      </c>
      <c r="E576" s="57" t="s">
        <v>149</v>
      </c>
      <c r="F576">
        <v>7</v>
      </c>
      <c r="G576">
        <v>2586</v>
      </c>
      <c r="H576" s="11">
        <v>45158</v>
      </c>
      <c r="I576" s="57" t="s">
        <v>266</v>
      </c>
      <c r="J576" s="57" t="s">
        <v>145</v>
      </c>
      <c r="K576" s="57" t="s">
        <v>264</v>
      </c>
      <c r="L576" t="s">
        <v>258</v>
      </c>
    </row>
    <row r="577" spans="1:12" x14ac:dyDescent="0.3">
      <c r="A577" s="57" t="s">
        <v>840</v>
      </c>
      <c r="B577" s="57" t="s">
        <v>275</v>
      </c>
      <c r="C577" s="57" t="s">
        <v>276</v>
      </c>
      <c r="D577" s="57" t="s">
        <v>153</v>
      </c>
      <c r="E577" s="57" t="s">
        <v>256</v>
      </c>
      <c r="F577">
        <v>10</v>
      </c>
      <c r="G577">
        <v>7000</v>
      </c>
      <c r="H577" s="11">
        <v>45509</v>
      </c>
      <c r="I577" s="57" t="s">
        <v>291</v>
      </c>
      <c r="J577" s="57" t="s">
        <v>147</v>
      </c>
      <c r="K577" s="57" t="s">
        <v>249</v>
      </c>
      <c r="L577" t="s">
        <v>243</v>
      </c>
    </row>
    <row r="578" spans="1:12" x14ac:dyDescent="0.3">
      <c r="A578" s="57" t="s">
        <v>841</v>
      </c>
      <c r="B578" s="57" t="s">
        <v>195</v>
      </c>
      <c r="C578" s="57" t="s">
        <v>196</v>
      </c>
      <c r="D578" s="57" t="s">
        <v>148</v>
      </c>
      <c r="E578" s="57" t="s">
        <v>252</v>
      </c>
      <c r="F578">
        <v>5</v>
      </c>
      <c r="G578">
        <v>7000</v>
      </c>
      <c r="H578" s="11">
        <v>45117</v>
      </c>
      <c r="I578" s="57" t="s">
        <v>266</v>
      </c>
      <c r="J578" s="57" t="s">
        <v>145</v>
      </c>
      <c r="K578" s="57" t="s">
        <v>249</v>
      </c>
      <c r="L578" t="s">
        <v>243</v>
      </c>
    </row>
    <row r="579" spans="1:12" x14ac:dyDescent="0.3">
      <c r="A579" s="57" t="s">
        <v>842</v>
      </c>
      <c r="B579" s="57" t="s">
        <v>268</v>
      </c>
      <c r="C579" s="57" t="s">
        <v>269</v>
      </c>
      <c r="D579" s="57" t="s">
        <v>152</v>
      </c>
      <c r="E579" s="57" t="s">
        <v>142</v>
      </c>
      <c r="F579">
        <v>7</v>
      </c>
      <c r="G579">
        <v>180</v>
      </c>
      <c r="H579" s="11">
        <v>45460</v>
      </c>
      <c r="I579" s="57" t="s">
        <v>257</v>
      </c>
      <c r="J579" s="57" t="s">
        <v>147</v>
      </c>
      <c r="K579" s="57" t="s">
        <v>238</v>
      </c>
      <c r="L579" t="s">
        <v>302</v>
      </c>
    </row>
    <row r="580" spans="1:12" x14ac:dyDescent="0.3">
      <c r="A580" s="57" t="s">
        <v>843</v>
      </c>
      <c r="B580" s="57" t="s">
        <v>273</v>
      </c>
      <c r="C580" s="57" t="s">
        <v>237</v>
      </c>
      <c r="D580" s="57" t="s">
        <v>148</v>
      </c>
      <c r="E580" s="57" t="s">
        <v>142</v>
      </c>
      <c r="F580">
        <v>10</v>
      </c>
      <c r="G580">
        <v>5900</v>
      </c>
      <c r="H580" s="11">
        <v>45527</v>
      </c>
      <c r="I580" s="57" t="s">
        <v>95</v>
      </c>
      <c r="J580" s="57" t="s">
        <v>143</v>
      </c>
      <c r="K580" s="57" t="s">
        <v>197</v>
      </c>
      <c r="L580" t="s">
        <v>240</v>
      </c>
    </row>
    <row r="581" spans="1:12" x14ac:dyDescent="0.3">
      <c r="A581" s="57" t="s">
        <v>844</v>
      </c>
      <c r="B581" s="57" t="s">
        <v>255</v>
      </c>
      <c r="C581" s="57" t="s">
        <v>237</v>
      </c>
      <c r="D581" s="57" t="s">
        <v>153</v>
      </c>
      <c r="E581" s="57" t="s">
        <v>142</v>
      </c>
      <c r="F581">
        <v>7</v>
      </c>
      <c r="G581">
        <v>7000</v>
      </c>
      <c r="H581" s="11">
        <v>45559</v>
      </c>
      <c r="I581" s="57" t="s">
        <v>92</v>
      </c>
      <c r="J581" s="57" t="s">
        <v>143</v>
      </c>
      <c r="K581" s="57" t="s">
        <v>239</v>
      </c>
      <c r="L581" t="s">
        <v>243</v>
      </c>
    </row>
    <row r="582" spans="1:12" x14ac:dyDescent="0.3">
      <c r="A582" s="57" t="s">
        <v>845</v>
      </c>
      <c r="B582" s="57" t="s">
        <v>251</v>
      </c>
      <c r="C582" s="57" t="s">
        <v>237</v>
      </c>
      <c r="D582" s="57" t="s">
        <v>238</v>
      </c>
      <c r="E582" s="57" t="s">
        <v>260</v>
      </c>
      <c r="F582">
        <v>4</v>
      </c>
      <c r="G582">
        <v>1877</v>
      </c>
      <c r="H582" s="11">
        <v>45251</v>
      </c>
      <c r="I582" s="57" t="s">
        <v>92</v>
      </c>
      <c r="J582" s="57" t="s">
        <v>248</v>
      </c>
      <c r="K582" s="57" t="s">
        <v>249</v>
      </c>
      <c r="L582" t="s">
        <v>258</v>
      </c>
    </row>
    <row r="583" spans="1:12" x14ac:dyDescent="0.3">
      <c r="A583" s="57" t="s">
        <v>846</v>
      </c>
      <c r="B583" s="57" t="s">
        <v>275</v>
      </c>
      <c r="C583" s="57" t="s">
        <v>276</v>
      </c>
      <c r="D583" s="57" t="s">
        <v>141</v>
      </c>
      <c r="E583" s="57" t="s">
        <v>149</v>
      </c>
      <c r="F583">
        <v>5</v>
      </c>
      <c r="G583">
        <v>2409</v>
      </c>
      <c r="H583" s="11">
        <v>45368</v>
      </c>
      <c r="I583" s="57" t="s">
        <v>89</v>
      </c>
      <c r="J583" s="57" t="s">
        <v>145</v>
      </c>
      <c r="K583" s="57" t="s">
        <v>253</v>
      </c>
      <c r="L583" t="s">
        <v>258</v>
      </c>
    </row>
    <row r="584" spans="1:12" x14ac:dyDescent="0.3">
      <c r="A584" s="57" t="s">
        <v>847</v>
      </c>
      <c r="B584" s="57" t="s">
        <v>268</v>
      </c>
      <c r="C584" s="57" t="s">
        <v>269</v>
      </c>
      <c r="D584" s="57" t="s">
        <v>141</v>
      </c>
      <c r="E584" s="57" t="s">
        <v>260</v>
      </c>
      <c r="F584">
        <v>0</v>
      </c>
      <c r="G584">
        <v>5900</v>
      </c>
      <c r="H584" s="11">
        <v>45175</v>
      </c>
      <c r="I584" s="57" t="s">
        <v>242</v>
      </c>
      <c r="J584" s="57" t="s">
        <v>248</v>
      </c>
      <c r="K584" s="57" t="s">
        <v>264</v>
      </c>
      <c r="L584" t="s">
        <v>240</v>
      </c>
    </row>
    <row r="585" spans="1:12" x14ac:dyDescent="0.3">
      <c r="A585" s="57" t="s">
        <v>848</v>
      </c>
      <c r="B585" s="57" t="s">
        <v>247</v>
      </c>
      <c r="C585" s="57" t="s">
        <v>237</v>
      </c>
      <c r="D585" s="57" t="s">
        <v>152</v>
      </c>
      <c r="E585" s="57" t="s">
        <v>256</v>
      </c>
      <c r="F585">
        <v>4</v>
      </c>
      <c r="G585">
        <v>7000</v>
      </c>
      <c r="H585" s="11">
        <v>45074</v>
      </c>
      <c r="I585" s="57" t="s">
        <v>266</v>
      </c>
      <c r="J585" s="57" t="s">
        <v>145</v>
      </c>
      <c r="K585" s="57" t="s">
        <v>239</v>
      </c>
      <c r="L585" t="s">
        <v>243</v>
      </c>
    </row>
    <row r="586" spans="1:12" x14ac:dyDescent="0.3">
      <c r="A586" s="57" t="s">
        <v>849</v>
      </c>
      <c r="B586" s="57" t="s">
        <v>251</v>
      </c>
      <c r="C586" s="57" t="s">
        <v>237</v>
      </c>
      <c r="D586" s="57" t="s">
        <v>152</v>
      </c>
      <c r="E586" s="57" t="s">
        <v>142</v>
      </c>
      <c r="F586">
        <v>7</v>
      </c>
      <c r="G586">
        <v>7000</v>
      </c>
      <c r="H586" s="11">
        <v>45395</v>
      </c>
      <c r="I586" s="57" t="s">
        <v>92</v>
      </c>
      <c r="J586" s="57" t="s">
        <v>150</v>
      </c>
      <c r="K586" s="57" t="s">
        <v>239</v>
      </c>
      <c r="L586" t="s">
        <v>243</v>
      </c>
    </row>
    <row r="587" spans="1:12" x14ac:dyDescent="0.3">
      <c r="A587" s="57" t="s">
        <v>850</v>
      </c>
      <c r="B587" s="57" t="s">
        <v>195</v>
      </c>
      <c r="C587" s="57" t="s">
        <v>196</v>
      </c>
      <c r="D587" s="57" t="s">
        <v>146</v>
      </c>
      <c r="E587" s="57" t="s">
        <v>252</v>
      </c>
      <c r="F587">
        <v>10</v>
      </c>
      <c r="G587">
        <v>1597</v>
      </c>
      <c r="H587" s="11">
        <v>45518</v>
      </c>
      <c r="I587" s="57" t="s">
        <v>257</v>
      </c>
      <c r="J587" s="57" t="s">
        <v>248</v>
      </c>
      <c r="K587" s="57" t="s">
        <v>238</v>
      </c>
      <c r="L587" t="s">
        <v>258</v>
      </c>
    </row>
    <row r="588" spans="1:12" x14ac:dyDescent="0.3">
      <c r="A588" s="57" t="s">
        <v>851</v>
      </c>
      <c r="B588" s="57" t="s">
        <v>275</v>
      </c>
      <c r="C588" s="57" t="s">
        <v>276</v>
      </c>
      <c r="D588" s="57" t="s">
        <v>238</v>
      </c>
      <c r="E588" s="57" t="s">
        <v>252</v>
      </c>
      <c r="F588">
        <v>10</v>
      </c>
      <c r="G588">
        <v>5900</v>
      </c>
      <c r="H588" s="11">
        <v>45014</v>
      </c>
      <c r="I588" s="57" t="s">
        <v>242</v>
      </c>
      <c r="J588" s="57" t="s">
        <v>143</v>
      </c>
      <c r="K588" s="57" t="s">
        <v>239</v>
      </c>
      <c r="L588" t="s">
        <v>240</v>
      </c>
    </row>
    <row r="589" spans="1:12" x14ac:dyDescent="0.3">
      <c r="A589" s="57" t="s">
        <v>852</v>
      </c>
      <c r="B589" s="57" t="s">
        <v>236</v>
      </c>
      <c r="C589" s="57" t="s">
        <v>237</v>
      </c>
      <c r="D589" s="57" t="s">
        <v>238</v>
      </c>
      <c r="E589" s="57" t="s">
        <v>256</v>
      </c>
      <c r="F589">
        <v>7</v>
      </c>
      <c r="G589">
        <v>2648</v>
      </c>
      <c r="H589" s="11">
        <v>45454</v>
      </c>
      <c r="I589" s="57" t="s">
        <v>257</v>
      </c>
      <c r="J589" s="57" t="s">
        <v>248</v>
      </c>
      <c r="K589" s="57" t="s">
        <v>253</v>
      </c>
      <c r="L589" t="s">
        <v>258</v>
      </c>
    </row>
    <row r="590" spans="1:12" x14ac:dyDescent="0.3">
      <c r="A590" s="57" t="s">
        <v>853</v>
      </c>
      <c r="B590" s="57" t="s">
        <v>247</v>
      </c>
      <c r="C590" s="57" t="s">
        <v>237</v>
      </c>
      <c r="D590" s="57" t="s">
        <v>141</v>
      </c>
      <c r="E590" s="57" t="s">
        <v>252</v>
      </c>
      <c r="F590">
        <v>5</v>
      </c>
      <c r="G590">
        <v>7000</v>
      </c>
      <c r="H590" s="11">
        <v>45399</v>
      </c>
      <c r="I590" s="57" t="s">
        <v>92</v>
      </c>
      <c r="J590" s="57" t="s">
        <v>248</v>
      </c>
      <c r="K590" s="57" t="s">
        <v>239</v>
      </c>
      <c r="L590" t="s">
        <v>243</v>
      </c>
    </row>
    <row r="591" spans="1:12" x14ac:dyDescent="0.3">
      <c r="A591" s="57" t="s">
        <v>854</v>
      </c>
      <c r="B591" s="57" t="s">
        <v>268</v>
      </c>
      <c r="C591" s="57" t="s">
        <v>269</v>
      </c>
      <c r="D591" s="57" t="s">
        <v>151</v>
      </c>
      <c r="E591" s="57" t="s">
        <v>149</v>
      </c>
      <c r="F591">
        <v>5</v>
      </c>
      <c r="G591">
        <v>7000</v>
      </c>
      <c r="H591" s="11">
        <v>45457</v>
      </c>
      <c r="I591" s="57" t="s">
        <v>100</v>
      </c>
      <c r="J591" s="57" t="s">
        <v>143</v>
      </c>
      <c r="K591" s="57" t="s">
        <v>239</v>
      </c>
      <c r="L591" t="s">
        <v>243</v>
      </c>
    </row>
    <row r="592" spans="1:12" x14ac:dyDescent="0.3">
      <c r="A592" s="57" t="s">
        <v>855</v>
      </c>
      <c r="B592" s="57" t="s">
        <v>195</v>
      </c>
      <c r="C592" s="57" t="s">
        <v>196</v>
      </c>
      <c r="D592" s="57" t="s">
        <v>152</v>
      </c>
      <c r="E592" s="57" t="s">
        <v>252</v>
      </c>
      <c r="F592">
        <v>4</v>
      </c>
      <c r="G592">
        <v>7000</v>
      </c>
      <c r="H592" s="11">
        <v>45425</v>
      </c>
      <c r="I592" s="57" t="s">
        <v>257</v>
      </c>
      <c r="J592" s="57" t="s">
        <v>248</v>
      </c>
      <c r="K592" s="57" t="s">
        <v>253</v>
      </c>
      <c r="L592" t="s">
        <v>243</v>
      </c>
    </row>
    <row r="593" spans="1:12" x14ac:dyDescent="0.3">
      <c r="A593" s="57" t="s">
        <v>856</v>
      </c>
      <c r="B593" s="57" t="s">
        <v>275</v>
      </c>
      <c r="C593" s="57" t="s">
        <v>276</v>
      </c>
      <c r="D593" s="57" t="s">
        <v>238</v>
      </c>
      <c r="E593" s="57" t="s">
        <v>149</v>
      </c>
      <c r="F593">
        <v>1</v>
      </c>
      <c r="G593">
        <v>7000</v>
      </c>
      <c r="H593" s="11">
        <v>45303</v>
      </c>
      <c r="I593" s="57" t="s">
        <v>266</v>
      </c>
      <c r="J593" s="57" t="s">
        <v>145</v>
      </c>
      <c r="K593" s="57" t="s">
        <v>239</v>
      </c>
      <c r="L593" t="s">
        <v>243</v>
      </c>
    </row>
    <row r="594" spans="1:12" x14ac:dyDescent="0.3">
      <c r="A594" s="57" t="s">
        <v>857</v>
      </c>
      <c r="B594" s="57" t="s">
        <v>268</v>
      </c>
      <c r="C594" s="57" t="s">
        <v>269</v>
      </c>
      <c r="D594" s="57" t="s">
        <v>238</v>
      </c>
      <c r="E594" s="57" t="s">
        <v>252</v>
      </c>
      <c r="F594">
        <v>5</v>
      </c>
      <c r="G594">
        <v>7000</v>
      </c>
      <c r="H594" s="11">
        <v>45517</v>
      </c>
      <c r="I594" s="57" t="s">
        <v>89</v>
      </c>
      <c r="J594" s="57" t="s">
        <v>248</v>
      </c>
      <c r="K594" s="57" t="s">
        <v>249</v>
      </c>
      <c r="L594" t="s">
        <v>243</v>
      </c>
    </row>
    <row r="595" spans="1:12" x14ac:dyDescent="0.3">
      <c r="A595" s="57" t="s">
        <v>858</v>
      </c>
      <c r="B595" s="57" t="s">
        <v>245</v>
      </c>
      <c r="C595" s="57" t="s">
        <v>237</v>
      </c>
      <c r="D595" s="57" t="s">
        <v>146</v>
      </c>
      <c r="E595" s="57" t="s">
        <v>260</v>
      </c>
      <c r="F595">
        <v>5</v>
      </c>
      <c r="G595">
        <v>5900</v>
      </c>
      <c r="H595" s="11">
        <v>45333</v>
      </c>
      <c r="I595" s="57" t="s">
        <v>291</v>
      </c>
      <c r="J595" s="57" t="s">
        <v>147</v>
      </c>
      <c r="K595" s="57" t="s">
        <v>239</v>
      </c>
      <c r="L595" t="s">
        <v>240</v>
      </c>
    </row>
    <row r="596" spans="1:12" x14ac:dyDescent="0.3">
      <c r="A596" s="57" t="s">
        <v>859</v>
      </c>
      <c r="B596" s="57" t="s">
        <v>236</v>
      </c>
      <c r="C596" s="57" t="s">
        <v>237</v>
      </c>
      <c r="D596" s="57" t="s">
        <v>238</v>
      </c>
      <c r="E596" s="57" t="s">
        <v>252</v>
      </c>
      <c r="F596">
        <v>5</v>
      </c>
      <c r="G596">
        <v>7000</v>
      </c>
      <c r="H596" s="11">
        <v>45069</v>
      </c>
      <c r="I596" s="57" t="s">
        <v>266</v>
      </c>
      <c r="J596" s="57" t="s">
        <v>143</v>
      </c>
      <c r="K596" s="57" t="s">
        <v>238</v>
      </c>
      <c r="L596" t="s">
        <v>243</v>
      </c>
    </row>
    <row r="597" spans="1:12" x14ac:dyDescent="0.3">
      <c r="A597" s="57" t="s">
        <v>860</v>
      </c>
      <c r="B597" s="57" t="s">
        <v>262</v>
      </c>
      <c r="C597" s="57" t="s">
        <v>263</v>
      </c>
      <c r="D597" s="57" t="s">
        <v>238</v>
      </c>
      <c r="E597" s="57" t="s">
        <v>149</v>
      </c>
      <c r="F597">
        <v>10</v>
      </c>
      <c r="G597">
        <v>7000</v>
      </c>
      <c r="H597" s="11">
        <v>45580</v>
      </c>
      <c r="I597" s="57" t="s">
        <v>242</v>
      </c>
      <c r="J597" s="57" t="s">
        <v>143</v>
      </c>
      <c r="K597" s="57" t="s">
        <v>238</v>
      </c>
      <c r="L597" t="s">
        <v>243</v>
      </c>
    </row>
    <row r="598" spans="1:12" x14ac:dyDescent="0.3">
      <c r="A598" s="57" t="s">
        <v>861</v>
      </c>
      <c r="B598" s="57" t="s">
        <v>273</v>
      </c>
      <c r="C598" s="57" t="s">
        <v>237</v>
      </c>
      <c r="D598" s="57" t="s">
        <v>152</v>
      </c>
      <c r="E598" s="57" t="s">
        <v>142</v>
      </c>
      <c r="F598">
        <v>10</v>
      </c>
      <c r="G598">
        <v>5900</v>
      </c>
      <c r="H598" s="11">
        <v>45568</v>
      </c>
      <c r="I598" s="57" t="s">
        <v>242</v>
      </c>
      <c r="J598" s="57" t="s">
        <v>147</v>
      </c>
      <c r="K598" s="57" t="s">
        <v>264</v>
      </c>
      <c r="L598" t="s">
        <v>240</v>
      </c>
    </row>
    <row r="599" spans="1:12" x14ac:dyDescent="0.3">
      <c r="A599" s="57" t="s">
        <v>862</v>
      </c>
      <c r="B599" s="57" t="s">
        <v>236</v>
      </c>
      <c r="C599" s="57" t="s">
        <v>237</v>
      </c>
      <c r="D599" s="57" t="s">
        <v>151</v>
      </c>
      <c r="E599" s="57" t="s">
        <v>256</v>
      </c>
      <c r="F599">
        <v>7</v>
      </c>
      <c r="G599">
        <v>7000</v>
      </c>
      <c r="H599" s="11">
        <v>45046</v>
      </c>
      <c r="I599" s="57" t="s">
        <v>92</v>
      </c>
      <c r="J599" s="57" t="s">
        <v>143</v>
      </c>
      <c r="K599" s="57" t="s">
        <v>264</v>
      </c>
      <c r="L599" t="s">
        <v>243</v>
      </c>
    </row>
    <row r="600" spans="1:12" x14ac:dyDescent="0.3">
      <c r="A600" s="57" t="s">
        <v>863</v>
      </c>
      <c r="B600" s="57" t="s">
        <v>245</v>
      </c>
      <c r="C600" s="57" t="s">
        <v>237</v>
      </c>
      <c r="D600" s="57" t="s">
        <v>238</v>
      </c>
      <c r="E600" s="57" t="s">
        <v>252</v>
      </c>
      <c r="F600">
        <v>5</v>
      </c>
      <c r="G600">
        <v>4585</v>
      </c>
      <c r="H600" s="11">
        <v>45342</v>
      </c>
      <c r="I600" s="57" t="s">
        <v>95</v>
      </c>
      <c r="J600" s="57" t="s">
        <v>147</v>
      </c>
      <c r="K600" s="57" t="s">
        <v>238</v>
      </c>
      <c r="L600" t="s">
        <v>240</v>
      </c>
    </row>
    <row r="601" spans="1:12" x14ac:dyDescent="0.3">
      <c r="A601" s="57" t="s">
        <v>864</v>
      </c>
      <c r="B601" s="57" t="s">
        <v>262</v>
      </c>
      <c r="C601" s="57" t="s">
        <v>263</v>
      </c>
      <c r="D601" s="57" t="s">
        <v>238</v>
      </c>
      <c r="E601" s="57" t="s">
        <v>256</v>
      </c>
      <c r="F601">
        <v>7</v>
      </c>
      <c r="G601">
        <v>5900</v>
      </c>
      <c r="H601" s="11">
        <v>45211</v>
      </c>
      <c r="I601" s="57" t="s">
        <v>95</v>
      </c>
      <c r="J601" s="57" t="s">
        <v>248</v>
      </c>
      <c r="K601" s="57" t="s">
        <v>239</v>
      </c>
      <c r="L601" t="s">
        <v>240</v>
      </c>
    </row>
    <row r="602" spans="1:12" x14ac:dyDescent="0.3">
      <c r="A602" s="57" t="s">
        <v>865</v>
      </c>
      <c r="B602" s="57" t="s">
        <v>195</v>
      </c>
      <c r="C602" s="57" t="s">
        <v>196</v>
      </c>
      <c r="D602" s="57" t="s">
        <v>148</v>
      </c>
      <c r="E602" s="57" t="s">
        <v>260</v>
      </c>
      <c r="F602">
        <v>5</v>
      </c>
      <c r="G602">
        <v>3144</v>
      </c>
      <c r="H602" s="11">
        <v>45582</v>
      </c>
      <c r="I602" s="57" t="s">
        <v>100</v>
      </c>
      <c r="J602" s="57" t="s">
        <v>147</v>
      </c>
      <c r="K602" s="57" t="s">
        <v>197</v>
      </c>
      <c r="L602" t="s">
        <v>258</v>
      </c>
    </row>
    <row r="603" spans="1:12" x14ac:dyDescent="0.3">
      <c r="A603" s="57" t="s">
        <v>866</v>
      </c>
      <c r="B603" s="57" t="s">
        <v>255</v>
      </c>
      <c r="C603" s="57" t="s">
        <v>237</v>
      </c>
      <c r="D603" s="57" t="s">
        <v>238</v>
      </c>
      <c r="E603" s="57" t="s">
        <v>260</v>
      </c>
      <c r="F603">
        <v>6</v>
      </c>
      <c r="G603">
        <v>5900</v>
      </c>
      <c r="H603" s="11">
        <v>45550</v>
      </c>
      <c r="I603" s="57" t="s">
        <v>291</v>
      </c>
      <c r="J603" s="57" t="s">
        <v>150</v>
      </c>
      <c r="K603" s="57" t="s">
        <v>239</v>
      </c>
      <c r="L603" t="s">
        <v>240</v>
      </c>
    </row>
    <row r="604" spans="1:12" x14ac:dyDescent="0.3">
      <c r="A604" s="57" t="s">
        <v>867</v>
      </c>
      <c r="B604" s="57" t="s">
        <v>251</v>
      </c>
      <c r="C604" s="57" t="s">
        <v>237</v>
      </c>
      <c r="D604" s="57" t="s">
        <v>148</v>
      </c>
      <c r="E604" s="57" t="s">
        <v>149</v>
      </c>
      <c r="F604">
        <v>7</v>
      </c>
      <c r="G604">
        <v>2180</v>
      </c>
      <c r="H604" s="11">
        <v>45490</v>
      </c>
      <c r="I604" s="57" t="s">
        <v>266</v>
      </c>
      <c r="J604" s="57" t="s">
        <v>145</v>
      </c>
      <c r="K604" s="57" t="s">
        <v>197</v>
      </c>
      <c r="L604" t="s">
        <v>258</v>
      </c>
    </row>
    <row r="605" spans="1:12" x14ac:dyDescent="0.3">
      <c r="A605" s="57" t="s">
        <v>868</v>
      </c>
      <c r="B605" s="57" t="s">
        <v>247</v>
      </c>
      <c r="C605" s="57" t="s">
        <v>237</v>
      </c>
      <c r="D605" s="57" t="s">
        <v>238</v>
      </c>
      <c r="E605" s="57" t="s">
        <v>252</v>
      </c>
      <c r="F605">
        <v>3</v>
      </c>
      <c r="G605">
        <v>5900</v>
      </c>
      <c r="H605" s="11">
        <v>45335</v>
      </c>
      <c r="I605" s="57" t="s">
        <v>266</v>
      </c>
      <c r="J605" s="57" t="s">
        <v>150</v>
      </c>
      <c r="K605" s="57" t="s">
        <v>239</v>
      </c>
      <c r="L605" t="s">
        <v>240</v>
      </c>
    </row>
    <row r="606" spans="1:12" x14ac:dyDescent="0.3">
      <c r="A606" s="57" t="s">
        <v>869</v>
      </c>
      <c r="B606" s="57" t="s">
        <v>268</v>
      </c>
      <c r="C606" s="57" t="s">
        <v>269</v>
      </c>
      <c r="D606" s="57" t="s">
        <v>238</v>
      </c>
      <c r="E606" s="57" t="s">
        <v>260</v>
      </c>
      <c r="F606">
        <v>0</v>
      </c>
      <c r="G606">
        <v>7000</v>
      </c>
      <c r="H606" s="11">
        <v>45281</v>
      </c>
      <c r="I606" s="57" t="s">
        <v>89</v>
      </c>
      <c r="J606" s="57" t="s">
        <v>145</v>
      </c>
      <c r="K606" s="57" t="s">
        <v>253</v>
      </c>
      <c r="L606" t="s">
        <v>243</v>
      </c>
    </row>
    <row r="607" spans="1:12" x14ac:dyDescent="0.3">
      <c r="A607" s="57" t="s">
        <v>870</v>
      </c>
      <c r="B607" s="57" t="s">
        <v>195</v>
      </c>
      <c r="C607" s="57" t="s">
        <v>196</v>
      </c>
      <c r="D607" s="57" t="s">
        <v>238</v>
      </c>
      <c r="E607" s="57" t="s">
        <v>142</v>
      </c>
      <c r="F607">
        <v>0</v>
      </c>
      <c r="G607">
        <v>5900</v>
      </c>
      <c r="H607" s="11">
        <v>45082</v>
      </c>
      <c r="I607" s="57" t="s">
        <v>89</v>
      </c>
      <c r="J607" s="57" t="s">
        <v>150</v>
      </c>
      <c r="K607" s="57" t="s">
        <v>238</v>
      </c>
      <c r="L607" t="s">
        <v>240</v>
      </c>
    </row>
    <row r="608" spans="1:12" x14ac:dyDescent="0.3">
      <c r="A608" s="57" t="s">
        <v>871</v>
      </c>
      <c r="B608" s="57" t="s">
        <v>273</v>
      </c>
      <c r="C608" s="57" t="s">
        <v>237</v>
      </c>
      <c r="D608" s="57" t="s">
        <v>238</v>
      </c>
      <c r="E608" s="57" t="s">
        <v>260</v>
      </c>
      <c r="F608">
        <v>0</v>
      </c>
      <c r="G608">
        <v>7000</v>
      </c>
      <c r="H608" s="11">
        <v>45248</v>
      </c>
      <c r="I608" s="57" t="s">
        <v>242</v>
      </c>
      <c r="J608" s="57" t="s">
        <v>150</v>
      </c>
      <c r="K608" s="57" t="s">
        <v>197</v>
      </c>
      <c r="L608" t="s">
        <v>243</v>
      </c>
    </row>
    <row r="609" spans="1:12" x14ac:dyDescent="0.3">
      <c r="A609" s="57" t="s">
        <v>872</v>
      </c>
      <c r="B609" s="57" t="s">
        <v>262</v>
      </c>
      <c r="C609" s="57" t="s">
        <v>263</v>
      </c>
      <c r="D609" s="57" t="s">
        <v>148</v>
      </c>
      <c r="E609" s="57" t="s">
        <v>256</v>
      </c>
      <c r="F609">
        <v>0</v>
      </c>
      <c r="G609">
        <v>5900</v>
      </c>
      <c r="H609" s="11">
        <v>45580</v>
      </c>
      <c r="I609" s="57" t="s">
        <v>92</v>
      </c>
      <c r="J609" s="57" t="s">
        <v>145</v>
      </c>
      <c r="K609" s="57" t="s">
        <v>197</v>
      </c>
      <c r="L609" t="s">
        <v>240</v>
      </c>
    </row>
    <row r="610" spans="1:12" x14ac:dyDescent="0.3">
      <c r="A610" s="57" t="s">
        <v>873</v>
      </c>
      <c r="B610" s="57" t="s">
        <v>247</v>
      </c>
      <c r="C610" s="57" t="s">
        <v>237</v>
      </c>
      <c r="D610" s="57" t="s">
        <v>141</v>
      </c>
      <c r="E610" s="57" t="s">
        <v>252</v>
      </c>
      <c r="F610">
        <v>8</v>
      </c>
      <c r="G610">
        <v>7000</v>
      </c>
      <c r="H610" s="11">
        <v>45423</v>
      </c>
      <c r="I610" s="57" t="s">
        <v>291</v>
      </c>
      <c r="J610" s="57" t="s">
        <v>150</v>
      </c>
      <c r="K610" s="57" t="s">
        <v>197</v>
      </c>
      <c r="L610" t="s">
        <v>243</v>
      </c>
    </row>
    <row r="611" spans="1:12" x14ac:dyDescent="0.3">
      <c r="A611" s="57" t="s">
        <v>874</v>
      </c>
      <c r="B611" s="57" t="s">
        <v>247</v>
      </c>
      <c r="C611" s="57" t="s">
        <v>237</v>
      </c>
      <c r="D611" s="57" t="s">
        <v>238</v>
      </c>
      <c r="E611" s="57" t="s">
        <v>252</v>
      </c>
      <c r="F611">
        <v>3</v>
      </c>
      <c r="G611">
        <v>7000</v>
      </c>
      <c r="H611" s="11">
        <v>44954</v>
      </c>
      <c r="I611" s="57" t="s">
        <v>257</v>
      </c>
      <c r="J611" s="57" t="s">
        <v>147</v>
      </c>
      <c r="K611" s="57" t="s">
        <v>253</v>
      </c>
      <c r="L611" t="s">
        <v>243</v>
      </c>
    </row>
    <row r="612" spans="1:12" x14ac:dyDescent="0.3">
      <c r="A612" s="57" t="s">
        <v>875</v>
      </c>
      <c r="B612" s="57" t="s">
        <v>273</v>
      </c>
      <c r="C612" s="57" t="s">
        <v>237</v>
      </c>
      <c r="D612" s="57" t="s">
        <v>141</v>
      </c>
      <c r="E612" s="57" t="s">
        <v>260</v>
      </c>
      <c r="F612">
        <v>5</v>
      </c>
      <c r="G612">
        <v>3406</v>
      </c>
      <c r="H612" s="11">
        <v>45414</v>
      </c>
      <c r="I612" s="57" t="s">
        <v>95</v>
      </c>
      <c r="J612" s="57" t="s">
        <v>150</v>
      </c>
      <c r="K612" s="57" t="s">
        <v>239</v>
      </c>
      <c r="L612" t="s">
        <v>258</v>
      </c>
    </row>
    <row r="613" spans="1:12" x14ac:dyDescent="0.3">
      <c r="A613" s="57" t="s">
        <v>876</v>
      </c>
      <c r="B613" s="57" t="s">
        <v>262</v>
      </c>
      <c r="C613" s="57" t="s">
        <v>263</v>
      </c>
      <c r="D613" s="57" t="s">
        <v>238</v>
      </c>
      <c r="E613" s="57" t="s">
        <v>149</v>
      </c>
      <c r="F613">
        <v>5</v>
      </c>
      <c r="G613">
        <v>2895</v>
      </c>
      <c r="H613" s="11">
        <v>44987</v>
      </c>
      <c r="I613" s="57" t="s">
        <v>266</v>
      </c>
      <c r="J613" s="57" t="s">
        <v>147</v>
      </c>
      <c r="K613" s="57" t="s">
        <v>253</v>
      </c>
      <c r="L613" t="s">
        <v>258</v>
      </c>
    </row>
    <row r="614" spans="1:12" x14ac:dyDescent="0.3">
      <c r="A614" s="57" t="s">
        <v>877</v>
      </c>
      <c r="B614" s="57" t="s">
        <v>251</v>
      </c>
      <c r="C614" s="57" t="s">
        <v>237</v>
      </c>
      <c r="D614" s="57" t="s">
        <v>238</v>
      </c>
      <c r="E614" s="57" t="s">
        <v>260</v>
      </c>
      <c r="F614">
        <v>7</v>
      </c>
      <c r="G614">
        <v>2356</v>
      </c>
      <c r="H614" s="11">
        <v>45458</v>
      </c>
      <c r="I614" s="57" t="s">
        <v>89</v>
      </c>
      <c r="J614" s="57" t="s">
        <v>145</v>
      </c>
      <c r="K614" s="57" t="s">
        <v>264</v>
      </c>
      <c r="L614" t="s">
        <v>258</v>
      </c>
    </row>
    <row r="615" spans="1:12" x14ac:dyDescent="0.3">
      <c r="A615" s="57" t="s">
        <v>878</v>
      </c>
      <c r="B615" s="57" t="s">
        <v>273</v>
      </c>
      <c r="C615" s="57" t="s">
        <v>237</v>
      </c>
      <c r="D615" s="57" t="s">
        <v>152</v>
      </c>
      <c r="E615" s="57" t="s">
        <v>256</v>
      </c>
      <c r="F615">
        <v>5</v>
      </c>
      <c r="G615">
        <v>7000</v>
      </c>
      <c r="H615" s="11">
        <v>44986</v>
      </c>
      <c r="I615" s="57" t="s">
        <v>92</v>
      </c>
      <c r="J615" s="57" t="s">
        <v>147</v>
      </c>
      <c r="K615" s="57" t="s">
        <v>238</v>
      </c>
      <c r="L615" t="s">
        <v>243</v>
      </c>
    </row>
    <row r="616" spans="1:12" x14ac:dyDescent="0.3">
      <c r="A616" s="57" t="s">
        <v>879</v>
      </c>
      <c r="B616" s="57" t="s">
        <v>245</v>
      </c>
      <c r="C616" s="57" t="s">
        <v>237</v>
      </c>
      <c r="D616" s="57" t="s">
        <v>148</v>
      </c>
      <c r="E616" s="57" t="s">
        <v>252</v>
      </c>
      <c r="F616">
        <v>7</v>
      </c>
      <c r="G616">
        <v>391</v>
      </c>
      <c r="H616" s="11">
        <v>45430</v>
      </c>
      <c r="I616" s="57" t="s">
        <v>242</v>
      </c>
      <c r="J616" s="57" t="s">
        <v>150</v>
      </c>
      <c r="K616" s="57" t="s">
        <v>253</v>
      </c>
      <c r="L616" t="s">
        <v>302</v>
      </c>
    </row>
    <row r="617" spans="1:12" x14ac:dyDescent="0.3">
      <c r="A617" s="57" t="s">
        <v>880</v>
      </c>
      <c r="B617" s="57" t="s">
        <v>275</v>
      </c>
      <c r="C617" s="57" t="s">
        <v>276</v>
      </c>
      <c r="D617" s="57" t="s">
        <v>141</v>
      </c>
      <c r="E617" s="57" t="s">
        <v>149</v>
      </c>
      <c r="F617">
        <v>0</v>
      </c>
      <c r="G617">
        <v>1423</v>
      </c>
      <c r="H617" s="11">
        <v>45199</v>
      </c>
      <c r="I617" s="57" t="s">
        <v>100</v>
      </c>
      <c r="J617" s="57" t="s">
        <v>145</v>
      </c>
      <c r="K617" s="57" t="s">
        <v>238</v>
      </c>
      <c r="L617" t="s">
        <v>258</v>
      </c>
    </row>
    <row r="618" spans="1:12" x14ac:dyDescent="0.3">
      <c r="A618" s="57" t="s">
        <v>881</v>
      </c>
      <c r="B618" s="57" t="s">
        <v>245</v>
      </c>
      <c r="C618" s="57" t="s">
        <v>237</v>
      </c>
      <c r="D618" s="57" t="s">
        <v>151</v>
      </c>
      <c r="E618" s="57" t="s">
        <v>252</v>
      </c>
      <c r="F618">
        <v>5</v>
      </c>
      <c r="G618">
        <v>7000</v>
      </c>
      <c r="H618" s="11">
        <v>44960</v>
      </c>
      <c r="I618" s="57" t="s">
        <v>89</v>
      </c>
      <c r="J618" s="57" t="s">
        <v>145</v>
      </c>
      <c r="K618" s="57" t="s">
        <v>238</v>
      </c>
      <c r="L618" t="s">
        <v>243</v>
      </c>
    </row>
    <row r="619" spans="1:12" x14ac:dyDescent="0.3">
      <c r="A619" s="57" t="s">
        <v>882</v>
      </c>
      <c r="B619" s="57" t="s">
        <v>255</v>
      </c>
      <c r="C619" s="57" t="s">
        <v>237</v>
      </c>
      <c r="D619" s="57" t="s">
        <v>141</v>
      </c>
      <c r="E619" s="57" t="s">
        <v>149</v>
      </c>
      <c r="F619">
        <v>10</v>
      </c>
      <c r="G619">
        <v>7000</v>
      </c>
      <c r="H619" s="11">
        <v>45467</v>
      </c>
      <c r="I619" s="57" t="s">
        <v>291</v>
      </c>
      <c r="J619" s="57" t="s">
        <v>150</v>
      </c>
      <c r="K619" s="57" t="s">
        <v>253</v>
      </c>
      <c r="L619" t="s">
        <v>243</v>
      </c>
    </row>
    <row r="620" spans="1:12" x14ac:dyDescent="0.3">
      <c r="A620" s="57" t="s">
        <v>883</v>
      </c>
      <c r="B620" s="57" t="s">
        <v>195</v>
      </c>
      <c r="C620" s="57" t="s">
        <v>196</v>
      </c>
      <c r="D620" s="57" t="s">
        <v>152</v>
      </c>
      <c r="E620" s="57" t="s">
        <v>142</v>
      </c>
      <c r="F620">
        <v>2</v>
      </c>
      <c r="G620">
        <v>1361</v>
      </c>
      <c r="H620" s="11">
        <v>45623</v>
      </c>
      <c r="I620" s="57" t="s">
        <v>100</v>
      </c>
      <c r="J620" s="57" t="s">
        <v>143</v>
      </c>
      <c r="K620" s="57" t="s">
        <v>197</v>
      </c>
      <c r="L620" t="s">
        <v>258</v>
      </c>
    </row>
    <row r="621" spans="1:12" x14ac:dyDescent="0.3">
      <c r="A621" s="57" t="s">
        <v>884</v>
      </c>
      <c r="B621" s="57" t="s">
        <v>236</v>
      </c>
      <c r="C621" s="57" t="s">
        <v>237</v>
      </c>
      <c r="D621" s="57" t="s">
        <v>153</v>
      </c>
      <c r="E621" s="57" t="s">
        <v>260</v>
      </c>
      <c r="F621">
        <v>6</v>
      </c>
      <c r="G621">
        <v>5900</v>
      </c>
      <c r="H621" s="11">
        <v>45176</v>
      </c>
      <c r="I621" s="57" t="s">
        <v>92</v>
      </c>
      <c r="J621" s="57" t="s">
        <v>248</v>
      </c>
      <c r="K621" s="57" t="s">
        <v>238</v>
      </c>
      <c r="L621" t="s">
        <v>240</v>
      </c>
    </row>
    <row r="622" spans="1:12" x14ac:dyDescent="0.3">
      <c r="A622" s="57" t="s">
        <v>885</v>
      </c>
      <c r="B622" s="57" t="s">
        <v>245</v>
      </c>
      <c r="C622" s="57" t="s">
        <v>237</v>
      </c>
      <c r="D622" s="57" t="s">
        <v>152</v>
      </c>
      <c r="E622" s="57" t="s">
        <v>256</v>
      </c>
      <c r="F622">
        <v>1</v>
      </c>
      <c r="G622">
        <v>2511</v>
      </c>
      <c r="H622" s="11">
        <v>45569</v>
      </c>
      <c r="I622" s="57" t="s">
        <v>92</v>
      </c>
      <c r="J622" s="57" t="s">
        <v>143</v>
      </c>
      <c r="K622" s="57" t="s">
        <v>239</v>
      </c>
      <c r="L622" t="s">
        <v>258</v>
      </c>
    </row>
    <row r="623" spans="1:12" x14ac:dyDescent="0.3">
      <c r="A623" s="57" t="s">
        <v>886</v>
      </c>
      <c r="B623" s="57" t="s">
        <v>255</v>
      </c>
      <c r="C623" s="57" t="s">
        <v>237</v>
      </c>
      <c r="D623" s="57" t="s">
        <v>148</v>
      </c>
      <c r="E623" s="57" t="s">
        <v>149</v>
      </c>
      <c r="F623">
        <v>7</v>
      </c>
      <c r="G623">
        <v>163</v>
      </c>
      <c r="H623" s="11">
        <v>45379</v>
      </c>
      <c r="I623" s="57" t="s">
        <v>257</v>
      </c>
      <c r="J623" s="57" t="s">
        <v>248</v>
      </c>
      <c r="K623" s="57" t="s">
        <v>197</v>
      </c>
      <c r="L623" t="s">
        <v>302</v>
      </c>
    </row>
    <row r="624" spans="1:12" x14ac:dyDescent="0.3">
      <c r="A624" s="57" t="s">
        <v>887</v>
      </c>
      <c r="B624" s="57" t="s">
        <v>236</v>
      </c>
      <c r="C624" s="57" t="s">
        <v>237</v>
      </c>
      <c r="D624" s="57" t="s">
        <v>153</v>
      </c>
      <c r="E624" s="57" t="s">
        <v>256</v>
      </c>
      <c r="F624">
        <v>3</v>
      </c>
      <c r="G624">
        <v>5900</v>
      </c>
      <c r="H624" s="11">
        <v>45540</v>
      </c>
      <c r="I624" s="57" t="s">
        <v>266</v>
      </c>
      <c r="J624" s="57" t="s">
        <v>145</v>
      </c>
      <c r="K624" s="57" t="s">
        <v>264</v>
      </c>
      <c r="L624" t="s">
        <v>240</v>
      </c>
    </row>
    <row r="625" spans="1:12" x14ac:dyDescent="0.3">
      <c r="A625" s="57" t="s">
        <v>888</v>
      </c>
      <c r="B625" s="57" t="s">
        <v>255</v>
      </c>
      <c r="C625" s="57" t="s">
        <v>237</v>
      </c>
      <c r="D625" s="57" t="s">
        <v>141</v>
      </c>
      <c r="E625" s="57" t="s">
        <v>256</v>
      </c>
      <c r="F625">
        <v>0</v>
      </c>
      <c r="G625">
        <v>7000</v>
      </c>
      <c r="H625" s="11">
        <v>44973</v>
      </c>
      <c r="I625" s="57" t="s">
        <v>100</v>
      </c>
      <c r="J625" s="57" t="s">
        <v>143</v>
      </c>
      <c r="K625" s="57" t="s">
        <v>239</v>
      </c>
      <c r="L625" t="s">
        <v>243</v>
      </c>
    </row>
    <row r="626" spans="1:12" x14ac:dyDescent="0.3">
      <c r="A626" s="57" t="s">
        <v>889</v>
      </c>
      <c r="B626" s="57" t="s">
        <v>273</v>
      </c>
      <c r="C626" s="57" t="s">
        <v>237</v>
      </c>
      <c r="D626" s="57" t="s">
        <v>148</v>
      </c>
      <c r="E626" s="57" t="s">
        <v>142</v>
      </c>
      <c r="F626">
        <v>8</v>
      </c>
      <c r="G626">
        <v>7000</v>
      </c>
      <c r="H626" s="11">
        <v>45024</v>
      </c>
      <c r="I626" s="57" t="s">
        <v>242</v>
      </c>
      <c r="J626" s="57" t="s">
        <v>145</v>
      </c>
      <c r="K626" s="57" t="s">
        <v>238</v>
      </c>
      <c r="L626" t="s">
        <v>243</v>
      </c>
    </row>
    <row r="627" spans="1:12" x14ac:dyDescent="0.3">
      <c r="A627" s="57" t="s">
        <v>890</v>
      </c>
      <c r="B627" s="57" t="s">
        <v>262</v>
      </c>
      <c r="C627" s="57" t="s">
        <v>263</v>
      </c>
      <c r="D627" s="57" t="s">
        <v>152</v>
      </c>
      <c r="E627" s="57" t="s">
        <v>142</v>
      </c>
      <c r="F627">
        <v>7</v>
      </c>
      <c r="G627">
        <v>7000</v>
      </c>
      <c r="H627" s="11">
        <v>45215</v>
      </c>
      <c r="I627" s="57" t="s">
        <v>100</v>
      </c>
      <c r="J627" s="57" t="s">
        <v>248</v>
      </c>
      <c r="K627" s="57" t="s">
        <v>197</v>
      </c>
      <c r="L627" t="s">
        <v>243</v>
      </c>
    </row>
    <row r="628" spans="1:12" x14ac:dyDescent="0.3">
      <c r="A628" s="57" t="s">
        <v>891</v>
      </c>
      <c r="B628" s="57" t="s">
        <v>273</v>
      </c>
      <c r="C628" s="57" t="s">
        <v>237</v>
      </c>
      <c r="D628" s="57" t="s">
        <v>148</v>
      </c>
      <c r="E628" s="57" t="s">
        <v>142</v>
      </c>
      <c r="F628">
        <v>6</v>
      </c>
      <c r="G628">
        <v>5900</v>
      </c>
      <c r="H628" s="11">
        <v>44972</v>
      </c>
      <c r="I628" s="57" t="s">
        <v>95</v>
      </c>
      <c r="J628" s="57" t="s">
        <v>147</v>
      </c>
      <c r="K628" s="57" t="s">
        <v>197</v>
      </c>
      <c r="L628" t="s">
        <v>240</v>
      </c>
    </row>
    <row r="629" spans="1:12" x14ac:dyDescent="0.3">
      <c r="A629" s="57" t="s">
        <v>892</v>
      </c>
      <c r="B629" s="57" t="s">
        <v>236</v>
      </c>
      <c r="C629" s="57" t="s">
        <v>237</v>
      </c>
      <c r="D629" s="57" t="s">
        <v>238</v>
      </c>
      <c r="E629" s="57" t="s">
        <v>142</v>
      </c>
      <c r="F629">
        <v>0</v>
      </c>
      <c r="G629">
        <v>7000</v>
      </c>
      <c r="H629" s="11">
        <v>45292</v>
      </c>
      <c r="I629" s="57" t="s">
        <v>95</v>
      </c>
      <c r="J629" s="57" t="s">
        <v>150</v>
      </c>
      <c r="K629" s="57" t="s">
        <v>249</v>
      </c>
      <c r="L629" t="s">
        <v>243</v>
      </c>
    </row>
    <row r="630" spans="1:12" x14ac:dyDescent="0.3">
      <c r="A630" s="57" t="s">
        <v>893</v>
      </c>
      <c r="B630" s="57" t="s">
        <v>236</v>
      </c>
      <c r="C630" s="57" t="s">
        <v>237</v>
      </c>
      <c r="D630" s="57" t="s">
        <v>141</v>
      </c>
      <c r="E630" s="57" t="s">
        <v>252</v>
      </c>
      <c r="F630">
        <v>0</v>
      </c>
      <c r="G630">
        <v>2225</v>
      </c>
      <c r="H630" s="11">
        <v>45553</v>
      </c>
      <c r="I630" s="57" t="s">
        <v>242</v>
      </c>
      <c r="J630" s="57" t="s">
        <v>248</v>
      </c>
      <c r="K630" s="57" t="s">
        <v>249</v>
      </c>
      <c r="L630" t="s">
        <v>258</v>
      </c>
    </row>
    <row r="631" spans="1:12" x14ac:dyDescent="0.3">
      <c r="A631" s="57" t="s">
        <v>894</v>
      </c>
      <c r="B631" s="57" t="s">
        <v>247</v>
      </c>
      <c r="C631" s="57" t="s">
        <v>237</v>
      </c>
      <c r="D631" s="57" t="s">
        <v>148</v>
      </c>
      <c r="E631" s="57" t="s">
        <v>252</v>
      </c>
      <c r="F631">
        <v>5</v>
      </c>
      <c r="G631">
        <v>5900</v>
      </c>
      <c r="H631" s="11">
        <v>45175</v>
      </c>
      <c r="I631" s="57" t="s">
        <v>242</v>
      </c>
      <c r="J631" s="57" t="s">
        <v>150</v>
      </c>
      <c r="K631" s="57" t="s">
        <v>264</v>
      </c>
      <c r="L631" t="s">
        <v>240</v>
      </c>
    </row>
    <row r="632" spans="1:12" x14ac:dyDescent="0.3">
      <c r="A632" s="57" t="s">
        <v>895</v>
      </c>
      <c r="B632" s="57" t="s">
        <v>245</v>
      </c>
      <c r="C632" s="57" t="s">
        <v>237</v>
      </c>
      <c r="D632" s="57" t="s">
        <v>141</v>
      </c>
      <c r="E632" s="57" t="s">
        <v>142</v>
      </c>
      <c r="F632">
        <v>7</v>
      </c>
      <c r="G632">
        <v>7000</v>
      </c>
      <c r="H632" s="11">
        <v>44971</v>
      </c>
      <c r="I632" s="57" t="s">
        <v>92</v>
      </c>
      <c r="J632" s="57" t="s">
        <v>145</v>
      </c>
      <c r="K632" s="57" t="s">
        <v>239</v>
      </c>
      <c r="L632" t="s">
        <v>243</v>
      </c>
    </row>
    <row r="633" spans="1:12" x14ac:dyDescent="0.3">
      <c r="A633" s="57" t="s">
        <v>896</v>
      </c>
      <c r="B633" s="57" t="s">
        <v>236</v>
      </c>
      <c r="C633" s="57" t="s">
        <v>237</v>
      </c>
      <c r="D633" s="57" t="s">
        <v>146</v>
      </c>
      <c r="E633" s="57" t="s">
        <v>252</v>
      </c>
      <c r="F633">
        <v>6</v>
      </c>
      <c r="G633">
        <v>2281</v>
      </c>
      <c r="H633" s="11">
        <v>45004</v>
      </c>
      <c r="I633" s="57" t="s">
        <v>100</v>
      </c>
      <c r="J633" s="57" t="s">
        <v>150</v>
      </c>
      <c r="K633" s="57" t="s">
        <v>238</v>
      </c>
      <c r="L633" t="s">
        <v>258</v>
      </c>
    </row>
    <row r="634" spans="1:12" x14ac:dyDescent="0.3">
      <c r="A634" s="57" t="s">
        <v>897</v>
      </c>
      <c r="B634" s="57" t="s">
        <v>262</v>
      </c>
      <c r="C634" s="57" t="s">
        <v>263</v>
      </c>
      <c r="D634" s="57" t="s">
        <v>146</v>
      </c>
      <c r="E634" s="57" t="s">
        <v>260</v>
      </c>
      <c r="F634">
        <v>5</v>
      </c>
      <c r="G634">
        <v>7000</v>
      </c>
      <c r="H634" s="11">
        <v>45601</v>
      </c>
      <c r="I634" s="57" t="s">
        <v>257</v>
      </c>
      <c r="J634" s="57" t="s">
        <v>147</v>
      </c>
      <c r="K634" s="57" t="s">
        <v>238</v>
      </c>
      <c r="L634" t="s">
        <v>243</v>
      </c>
    </row>
    <row r="635" spans="1:12" x14ac:dyDescent="0.3">
      <c r="A635" s="57" t="s">
        <v>898</v>
      </c>
      <c r="B635" s="57" t="s">
        <v>251</v>
      </c>
      <c r="C635" s="57" t="s">
        <v>237</v>
      </c>
      <c r="D635" s="57" t="s">
        <v>148</v>
      </c>
      <c r="E635" s="57" t="s">
        <v>256</v>
      </c>
      <c r="F635">
        <v>0</v>
      </c>
      <c r="G635">
        <v>7000</v>
      </c>
      <c r="H635" s="11">
        <v>45020</v>
      </c>
      <c r="I635" s="57" t="s">
        <v>92</v>
      </c>
      <c r="J635" s="57" t="s">
        <v>150</v>
      </c>
      <c r="K635" s="57" t="s">
        <v>264</v>
      </c>
      <c r="L635" t="s">
        <v>243</v>
      </c>
    </row>
    <row r="636" spans="1:12" x14ac:dyDescent="0.3">
      <c r="A636" s="57" t="s">
        <v>899</v>
      </c>
      <c r="B636" s="57" t="s">
        <v>251</v>
      </c>
      <c r="C636" s="57" t="s">
        <v>237</v>
      </c>
      <c r="D636" s="57" t="s">
        <v>148</v>
      </c>
      <c r="E636" s="57" t="s">
        <v>260</v>
      </c>
      <c r="F636">
        <v>10</v>
      </c>
      <c r="G636">
        <v>7000</v>
      </c>
      <c r="H636" s="11">
        <v>45573</v>
      </c>
      <c r="I636" s="57" t="s">
        <v>257</v>
      </c>
      <c r="J636" s="57" t="s">
        <v>248</v>
      </c>
      <c r="K636" s="57" t="s">
        <v>238</v>
      </c>
      <c r="L636" t="s">
        <v>243</v>
      </c>
    </row>
    <row r="637" spans="1:12" x14ac:dyDescent="0.3">
      <c r="A637" s="57" t="s">
        <v>900</v>
      </c>
      <c r="B637" s="57" t="s">
        <v>195</v>
      </c>
      <c r="C637" s="57" t="s">
        <v>196</v>
      </c>
      <c r="D637" s="57" t="s">
        <v>146</v>
      </c>
      <c r="E637" s="57" t="s">
        <v>142</v>
      </c>
      <c r="F637">
        <v>0</v>
      </c>
      <c r="G637">
        <v>5900</v>
      </c>
      <c r="H637" s="11">
        <v>45632</v>
      </c>
      <c r="I637" s="57" t="s">
        <v>95</v>
      </c>
      <c r="J637" s="57" t="s">
        <v>150</v>
      </c>
      <c r="K637" s="57" t="s">
        <v>239</v>
      </c>
      <c r="L637" t="s">
        <v>240</v>
      </c>
    </row>
    <row r="638" spans="1:12" x14ac:dyDescent="0.3">
      <c r="A638" s="57" t="s">
        <v>901</v>
      </c>
      <c r="B638" s="57" t="s">
        <v>251</v>
      </c>
      <c r="C638" s="57" t="s">
        <v>237</v>
      </c>
      <c r="D638" s="57" t="s">
        <v>152</v>
      </c>
      <c r="E638" s="57" t="s">
        <v>256</v>
      </c>
      <c r="F638">
        <v>5</v>
      </c>
      <c r="G638">
        <v>5900</v>
      </c>
      <c r="H638" s="11">
        <v>45552</v>
      </c>
      <c r="I638" s="57" t="s">
        <v>89</v>
      </c>
      <c r="J638" s="57" t="s">
        <v>143</v>
      </c>
      <c r="K638" s="57" t="s">
        <v>197</v>
      </c>
      <c r="L638" t="s">
        <v>240</v>
      </c>
    </row>
    <row r="639" spans="1:12" x14ac:dyDescent="0.3">
      <c r="A639" s="57" t="s">
        <v>902</v>
      </c>
      <c r="B639" s="57" t="s">
        <v>251</v>
      </c>
      <c r="C639" s="57" t="s">
        <v>237</v>
      </c>
      <c r="D639" s="57" t="s">
        <v>144</v>
      </c>
      <c r="E639" s="57" t="s">
        <v>142</v>
      </c>
      <c r="F639">
        <v>0</v>
      </c>
      <c r="G639">
        <v>1398</v>
      </c>
      <c r="H639" s="11">
        <v>45125</v>
      </c>
      <c r="I639" s="57" t="s">
        <v>242</v>
      </c>
      <c r="J639" s="57" t="s">
        <v>248</v>
      </c>
      <c r="K639" s="57" t="s">
        <v>264</v>
      </c>
      <c r="L639" t="s">
        <v>258</v>
      </c>
    </row>
    <row r="640" spans="1:12" x14ac:dyDescent="0.3">
      <c r="A640" s="57" t="s">
        <v>903</v>
      </c>
      <c r="B640" s="57" t="s">
        <v>195</v>
      </c>
      <c r="C640" s="57" t="s">
        <v>196</v>
      </c>
      <c r="D640" s="57" t="s">
        <v>151</v>
      </c>
      <c r="E640" s="57" t="s">
        <v>149</v>
      </c>
      <c r="F640">
        <v>6</v>
      </c>
      <c r="G640">
        <v>7000</v>
      </c>
      <c r="H640" s="11">
        <v>45513</v>
      </c>
      <c r="I640" s="57" t="s">
        <v>92</v>
      </c>
      <c r="J640" s="57" t="s">
        <v>248</v>
      </c>
      <c r="K640" s="57" t="s">
        <v>197</v>
      </c>
      <c r="L640" t="s">
        <v>243</v>
      </c>
    </row>
    <row r="641" spans="1:12" x14ac:dyDescent="0.3">
      <c r="A641" s="57" t="s">
        <v>904</v>
      </c>
      <c r="B641" s="57" t="s">
        <v>255</v>
      </c>
      <c r="C641" s="57" t="s">
        <v>237</v>
      </c>
      <c r="D641" s="57" t="s">
        <v>144</v>
      </c>
      <c r="E641" s="57" t="s">
        <v>149</v>
      </c>
      <c r="F641">
        <v>3</v>
      </c>
      <c r="G641">
        <v>7000</v>
      </c>
      <c r="H641" s="11">
        <v>45081</v>
      </c>
      <c r="I641" s="57" t="s">
        <v>92</v>
      </c>
      <c r="J641" s="57" t="s">
        <v>143</v>
      </c>
      <c r="K641" s="57" t="s">
        <v>238</v>
      </c>
      <c r="L641" t="s">
        <v>243</v>
      </c>
    </row>
    <row r="642" spans="1:12" x14ac:dyDescent="0.3">
      <c r="A642" s="57" t="s">
        <v>905</v>
      </c>
      <c r="B642" s="57" t="s">
        <v>273</v>
      </c>
      <c r="C642" s="57" t="s">
        <v>237</v>
      </c>
      <c r="D642" s="57" t="s">
        <v>153</v>
      </c>
      <c r="E642" s="57" t="s">
        <v>252</v>
      </c>
      <c r="F642">
        <v>2</v>
      </c>
      <c r="G642">
        <v>4209</v>
      </c>
      <c r="H642" s="11">
        <v>45458</v>
      </c>
      <c r="I642" s="57" t="s">
        <v>242</v>
      </c>
      <c r="J642" s="57" t="s">
        <v>145</v>
      </c>
      <c r="K642" s="57" t="s">
        <v>197</v>
      </c>
      <c r="L642" t="s">
        <v>240</v>
      </c>
    </row>
    <row r="643" spans="1:12" x14ac:dyDescent="0.3">
      <c r="A643" s="57" t="s">
        <v>906</v>
      </c>
      <c r="B643" s="57" t="s">
        <v>195</v>
      </c>
      <c r="C643" s="57" t="s">
        <v>196</v>
      </c>
      <c r="D643" s="57" t="s">
        <v>146</v>
      </c>
      <c r="E643" s="57" t="s">
        <v>260</v>
      </c>
      <c r="F643">
        <v>0</v>
      </c>
      <c r="G643">
        <v>7000</v>
      </c>
      <c r="H643" s="11">
        <v>45198</v>
      </c>
      <c r="I643" s="57" t="s">
        <v>95</v>
      </c>
      <c r="J643" s="57" t="s">
        <v>145</v>
      </c>
      <c r="K643" s="57" t="s">
        <v>253</v>
      </c>
      <c r="L643" t="s">
        <v>243</v>
      </c>
    </row>
    <row r="644" spans="1:12" x14ac:dyDescent="0.3">
      <c r="A644" s="57" t="s">
        <v>907</v>
      </c>
      <c r="B644" s="57" t="s">
        <v>251</v>
      </c>
      <c r="C644" s="57" t="s">
        <v>237</v>
      </c>
      <c r="D644" s="57" t="s">
        <v>238</v>
      </c>
      <c r="E644" s="57" t="s">
        <v>256</v>
      </c>
      <c r="F644">
        <v>7</v>
      </c>
      <c r="G644">
        <v>5900</v>
      </c>
      <c r="H644" s="11">
        <v>45102</v>
      </c>
      <c r="I644" s="57" t="s">
        <v>257</v>
      </c>
      <c r="J644" s="57" t="s">
        <v>248</v>
      </c>
      <c r="K644" s="57" t="s">
        <v>197</v>
      </c>
      <c r="L644" t="s">
        <v>240</v>
      </c>
    </row>
    <row r="645" spans="1:12" x14ac:dyDescent="0.3">
      <c r="A645" s="57" t="s">
        <v>908</v>
      </c>
      <c r="B645" s="57" t="s">
        <v>245</v>
      </c>
      <c r="C645" s="57" t="s">
        <v>237</v>
      </c>
      <c r="D645" s="57" t="s">
        <v>151</v>
      </c>
      <c r="E645" s="57" t="s">
        <v>260</v>
      </c>
      <c r="F645">
        <v>6</v>
      </c>
      <c r="G645">
        <v>5900</v>
      </c>
      <c r="H645" s="11">
        <v>45528</v>
      </c>
      <c r="I645" s="57" t="s">
        <v>242</v>
      </c>
      <c r="J645" s="57" t="s">
        <v>143</v>
      </c>
      <c r="K645" s="57" t="s">
        <v>239</v>
      </c>
      <c r="L645" t="s">
        <v>240</v>
      </c>
    </row>
    <row r="646" spans="1:12" x14ac:dyDescent="0.3">
      <c r="A646" s="57" t="s">
        <v>909</v>
      </c>
      <c r="B646" s="57" t="s">
        <v>251</v>
      </c>
      <c r="C646" s="57" t="s">
        <v>237</v>
      </c>
      <c r="D646" s="57" t="s">
        <v>153</v>
      </c>
      <c r="E646" s="57" t="s">
        <v>142</v>
      </c>
      <c r="F646">
        <v>2</v>
      </c>
      <c r="G646">
        <v>510</v>
      </c>
      <c r="H646" s="11">
        <v>44954</v>
      </c>
      <c r="I646" s="57" t="s">
        <v>92</v>
      </c>
      <c r="J646" s="57" t="s">
        <v>143</v>
      </c>
      <c r="K646" s="57" t="s">
        <v>238</v>
      </c>
      <c r="L646" t="s">
        <v>302</v>
      </c>
    </row>
    <row r="647" spans="1:12" x14ac:dyDescent="0.3">
      <c r="A647" s="57" t="s">
        <v>910</v>
      </c>
      <c r="B647" s="57" t="s">
        <v>247</v>
      </c>
      <c r="C647" s="57" t="s">
        <v>237</v>
      </c>
      <c r="D647" s="57" t="s">
        <v>153</v>
      </c>
      <c r="E647" s="57" t="s">
        <v>142</v>
      </c>
      <c r="F647">
        <v>7</v>
      </c>
      <c r="G647">
        <v>386</v>
      </c>
      <c r="H647" s="11">
        <v>45246</v>
      </c>
      <c r="I647" s="57" t="s">
        <v>100</v>
      </c>
      <c r="J647" s="57" t="s">
        <v>147</v>
      </c>
      <c r="K647" s="57" t="s">
        <v>238</v>
      </c>
      <c r="L647" t="s">
        <v>302</v>
      </c>
    </row>
    <row r="648" spans="1:12" x14ac:dyDescent="0.3">
      <c r="A648" s="57" t="s">
        <v>911</v>
      </c>
      <c r="B648" s="57" t="s">
        <v>273</v>
      </c>
      <c r="C648" s="57" t="s">
        <v>237</v>
      </c>
      <c r="D648" s="57" t="s">
        <v>238</v>
      </c>
      <c r="E648" s="57" t="s">
        <v>149</v>
      </c>
      <c r="F648">
        <v>10</v>
      </c>
      <c r="G648">
        <v>7000</v>
      </c>
      <c r="H648" s="11">
        <v>45115</v>
      </c>
      <c r="I648" s="57" t="s">
        <v>100</v>
      </c>
      <c r="J648" s="57" t="s">
        <v>248</v>
      </c>
      <c r="K648" s="57" t="s">
        <v>197</v>
      </c>
      <c r="L648" t="s">
        <v>243</v>
      </c>
    </row>
    <row r="649" spans="1:12" x14ac:dyDescent="0.3">
      <c r="A649" s="57" t="s">
        <v>912</v>
      </c>
      <c r="B649" s="57" t="s">
        <v>275</v>
      </c>
      <c r="C649" s="57" t="s">
        <v>276</v>
      </c>
      <c r="D649" s="57" t="s">
        <v>141</v>
      </c>
      <c r="E649" s="57" t="s">
        <v>260</v>
      </c>
      <c r="F649">
        <v>0</v>
      </c>
      <c r="G649">
        <v>1147</v>
      </c>
      <c r="H649" s="11">
        <v>45078</v>
      </c>
      <c r="I649" s="57" t="s">
        <v>257</v>
      </c>
      <c r="J649" s="57" t="s">
        <v>147</v>
      </c>
      <c r="K649" s="57" t="s">
        <v>239</v>
      </c>
      <c r="L649" t="s">
        <v>258</v>
      </c>
    </row>
    <row r="650" spans="1:12" x14ac:dyDescent="0.3">
      <c r="A650" s="57" t="s">
        <v>913</v>
      </c>
      <c r="B650" s="57" t="s">
        <v>195</v>
      </c>
      <c r="C650" s="57" t="s">
        <v>196</v>
      </c>
      <c r="D650" s="57" t="s">
        <v>238</v>
      </c>
      <c r="E650" s="57" t="s">
        <v>149</v>
      </c>
      <c r="F650">
        <v>0</v>
      </c>
      <c r="G650">
        <v>7000</v>
      </c>
      <c r="H650" s="11">
        <v>45149</v>
      </c>
      <c r="I650" s="57" t="s">
        <v>95</v>
      </c>
      <c r="J650" s="57" t="s">
        <v>145</v>
      </c>
      <c r="K650" s="57" t="s">
        <v>239</v>
      </c>
      <c r="L650" t="s">
        <v>243</v>
      </c>
    </row>
    <row r="651" spans="1:12" x14ac:dyDescent="0.3">
      <c r="A651" s="57" t="s">
        <v>914</v>
      </c>
      <c r="B651" s="57" t="s">
        <v>236</v>
      </c>
      <c r="C651" s="57" t="s">
        <v>237</v>
      </c>
      <c r="D651" s="57" t="s">
        <v>238</v>
      </c>
      <c r="E651" s="57" t="s">
        <v>149</v>
      </c>
      <c r="F651">
        <v>7</v>
      </c>
      <c r="G651">
        <v>7000</v>
      </c>
      <c r="H651" s="11">
        <v>45335</v>
      </c>
      <c r="I651" s="57" t="s">
        <v>266</v>
      </c>
      <c r="J651" s="57" t="s">
        <v>150</v>
      </c>
      <c r="K651" s="57" t="s">
        <v>197</v>
      </c>
      <c r="L651" t="s">
        <v>243</v>
      </c>
    </row>
    <row r="652" spans="1:12" x14ac:dyDescent="0.3">
      <c r="A652" s="57" t="s">
        <v>915</v>
      </c>
      <c r="B652" s="57" t="s">
        <v>273</v>
      </c>
      <c r="C652" s="57" t="s">
        <v>237</v>
      </c>
      <c r="D652" s="57" t="s">
        <v>153</v>
      </c>
      <c r="E652" s="57" t="s">
        <v>260</v>
      </c>
      <c r="F652">
        <v>7</v>
      </c>
      <c r="G652">
        <v>7000</v>
      </c>
      <c r="H652" s="11">
        <v>45512</v>
      </c>
      <c r="I652" s="57" t="s">
        <v>291</v>
      </c>
      <c r="J652" s="57" t="s">
        <v>248</v>
      </c>
      <c r="K652" s="57" t="s">
        <v>253</v>
      </c>
      <c r="L652" t="s">
        <v>243</v>
      </c>
    </row>
    <row r="653" spans="1:12" x14ac:dyDescent="0.3">
      <c r="A653" s="57" t="s">
        <v>916</v>
      </c>
      <c r="B653" s="57" t="s">
        <v>255</v>
      </c>
      <c r="C653" s="57" t="s">
        <v>237</v>
      </c>
      <c r="D653" s="57" t="s">
        <v>146</v>
      </c>
      <c r="E653" s="57" t="s">
        <v>149</v>
      </c>
      <c r="F653">
        <v>5</v>
      </c>
      <c r="G653">
        <v>5900</v>
      </c>
      <c r="H653" s="11">
        <v>44991</v>
      </c>
      <c r="I653" s="57" t="s">
        <v>257</v>
      </c>
      <c r="J653" s="57" t="s">
        <v>150</v>
      </c>
      <c r="K653" s="57" t="s">
        <v>238</v>
      </c>
      <c r="L653" t="s">
        <v>240</v>
      </c>
    </row>
    <row r="654" spans="1:12" x14ac:dyDescent="0.3">
      <c r="A654" s="57" t="s">
        <v>917</v>
      </c>
      <c r="B654" s="57" t="s">
        <v>273</v>
      </c>
      <c r="C654" s="57" t="s">
        <v>237</v>
      </c>
      <c r="D654" s="57" t="s">
        <v>141</v>
      </c>
      <c r="E654" s="57" t="s">
        <v>260</v>
      </c>
      <c r="F654">
        <v>7</v>
      </c>
      <c r="G654">
        <v>4168</v>
      </c>
      <c r="H654" s="11">
        <v>45337</v>
      </c>
      <c r="I654" s="57" t="s">
        <v>92</v>
      </c>
      <c r="J654" s="57" t="s">
        <v>150</v>
      </c>
      <c r="K654" s="57" t="s">
        <v>197</v>
      </c>
      <c r="L654" t="s">
        <v>240</v>
      </c>
    </row>
    <row r="655" spans="1:12" x14ac:dyDescent="0.3">
      <c r="A655" s="57" t="s">
        <v>918</v>
      </c>
      <c r="B655" s="57" t="s">
        <v>275</v>
      </c>
      <c r="C655" s="57" t="s">
        <v>276</v>
      </c>
      <c r="D655" s="57" t="s">
        <v>238</v>
      </c>
      <c r="E655" s="57" t="s">
        <v>256</v>
      </c>
      <c r="F655">
        <v>6</v>
      </c>
      <c r="G655">
        <v>5900</v>
      </c>
      <c r="H655" s="11">
        <v>45242</v>
      </c>
      <c r="I655" s="57" t="s">
        <v>92</v>
      </c>
      <c r="J655" s="57" t="s">
        <v>147</v>
      </c>
      <c r="K655" s="57" t="s">
        <v>239</v>
      </c>
      <c r="L655" t="s">
        <v>240</v>
      </c>
    </row>
    <row r="656" spans="1:12" x14ac:dyDescent="0.3">
      <c r="A656" s="57" t="s">
        <v>919</v>
      </c>
      <c r="B656" s="57" t="s">
        <v>268</v>
      </c>
      <c r="C656" s="57" t="s">
        <v>269</v>
      </c>
      <c r="D656" s="57" t="s">
        <v>238</v>
      </c>
      <c r="E656" s="57" t="s">
        <v>142</v>
      </c>
      <c r="F656">
        <v>10</v>
      </c>
      <c r="G656">
        <v>7000</v>
      </c>
      <c r="H656" s="11">
        <v>45066</v>
      </c>
      <c r="I656" s="57" t="s">
        <v>89</v>
      </c>
      <c r="J656" s="57" t="s">
        <v>147</v>
      </c>
      <c r="K656" s="57" t="s">
        <v>253</v>
      </c>
      <c r="L656" t="s">
        <v>243</v>
      </c>
    </row>
    <row r="657" spans="1:12" x14ac:dyDescent="0.3">
      <c r="A657" s="57" t="s">
        <v>920</v>
      </c>
      <c r="B657" s="57" t="s">
        <v>247</v>
      </c>
      <c r="C657" s="57" t="s">
        <v>237</v>
      </c>
      <c r="D657" s="57" t="s">
        <v>152</v>
      </c>
      <c r="E657" s="57" t="s">
        <v>149</v>
      </c>
      <c r="F657">
        <v>5</v>
      </c>
      <c r="G657">
        <v>7000</v>
      </c>
      <c r="H657" s="11">
        <v>45215</v>
      </c>
      <c r="I657" s="57" t="s">
        <v>242</v>
      </c>
      <c r="J657" s="57" t="s">
        <v>143</v>
      </c>
      <c r="K657" s="57" t="s">
        <v>238</v>
      </c>
      <c r="L657" t="s">
        <v>243</v>
      </c>
    </row>
    <row r="658" spans="1:12" x14ac:dyDescent="0.3">
      <c r="A658" s="57" t="s">
        <v>921</v>
      </c>
      <c r="B658" s="57" t="s">
        <v>268</v>
      </c>
      <c r="C658" s="57" t="s">
        <v>269</v>
      </c>
      <c r="D658" s="57" t="s">
        <v>144</v>
      </c>
      <c r="E658" s="57" t="s">
        <v>149</v>
      </c>
      <c r="F658">
        <v>0</v>
      </c>
      <c r="G658">
        <v>1178</v>
      </c>
      <c r="H658" s="11">
        <v>45390</v>
      </c>
      <c r="I658" s="57" t="s">
        <v>89</v>
      </c>
      <c r="J658" s="57" t="s">
        <v>248</v>
      </c>
      <c r="K658" s="57" t="s">
        <v>249</v>
      </c>
      <c r="L658" t="s">
        <v>258</v>
      </c>
    </row>
    <row r="659" spans="1:12" x14ac:dyDescent="0.3">
      <c r="A659" s="57" t="s">
        <v>922</v>
      </c>
      <c r="B659" s="57" t="s">
        <v>268</v>
      </c>
      <c r="C659" s="57" t="s">
        <v>269</v>
      </c>
      <c r="D659" s="57" t="s">
        <v>238</v>
      </c>
      <c r="E659" s="57" t="s">
        <v>252</v>
      </c>
      <c r="F659">
        <v>0</v>
      </c>
      <c r="G659">
        <v>7000</v>
      </c>
      <c r="H659" s="11">
        <v>45414</v>
      </c>
      <c r="I659" s="57" t="s">
        <v>266</v>
      </c>
      <c r="J659" s="57" t="s">
        <v>248</v>
      </c>
      <c r="K659" s="57" t="s">
        <v>239</v>
      </c>
      <c r="L659" t="s">
        <v>243</v>
      </c>
    </row>
    <row r="660" spans="1:12" x14ac:dyDescent="0.3">
      <c r="A660" s="57" t="s">
        <v>923</v>
      </c>
      <c r="B660" s="57" t="s">
        <v>236</v>
      </c>
      <c r="C660" s="57" t="s">
        <v>237</v>
      </c>
      <c r="D660" s="57" t="s">
        <v>238</v>
      </c>
      <c r="E660" s="57" t="s">
        <v>256</v>
      </c>
      <c r="F660">
        <v>5</v>
      </c>
      <c r="G660">
        <v>5900</v>
      </c>
      <c r="H660" s="11">
        <v>45072</v>
      </c>
      <c r="I660" s="57" t="s">
        <v>92</v>
      </c>
      <c r="J660" s="57" t="s">
        <v>147</v>
      </c>
      <c r="K660" s="57" t="s">
        <v>197</v>
      </c>
      <c r="L660" t="s">
        <v>240</v>
      </c>
    </row>
    <row r="661" spans="1:12" x14ac:dyDescent="0.3">
      <c r="A661" s="57" t="s">
        <v>924</v>
      </c>
      <c r="B661" s="57" t="s">
        <v>245</v>
      </c>
      <c r="C661" s="57" t="s">
        <v>237</v>
      </c>
      <c r="D661" s="57" t="s">
        <v>238</v>
      </c>
      <c r="E661" s="57" t="s">
        <v>149</v>
      </c>
      <c r="F661">
        <v>4</v>
      </c>
      <c r="G661">
        <v>7000</v>
      </c>
      <c r="H661" s="11">
        <v>45491</v>
      </c>
      <c r="I661" s="57" t="s">
        <v>100</v>
      </c>
      <c r="J661" s="57" t="s">
        <v>248</v>
      </c>
      <c r="K661" s="57" t="s">
        <v>238</v>
      </c>
      <c r="L661" t="s">
        <v>243</v>
      </c>
    </row>
    <row r="662" spans="1:12" x14ac:dyDescent="0.3">
      <c r="A662" s="57" t="s">
        <v>925</v>
      </c>
      <c r="B662" s="57" t="s">
        <v>245</v>
      </c>
      <c r="C662" s="57" t="s">
        <v>237</v>
      </c>
      <c r="D662" s="57" t="s">
        <v>238</v>
      </c>
      <c r="E662" s="57" t="s">
        <v>142</v>
      </c>
      <c r="F662">
        <v>0</v>
      </c>
      <c r="G662">
        <v>7000</v>
      </c>
      <c r="H662" s="11">
        <v>45458</v>
      </c>
      <c r="I662" s="57" t="s">
        <v>92</v>
      </c>
      <c r="J662" s="57" t="s">
        <v>147</v>
      </c>
      <c r="K662" s="57" t="s">
        <v>253</v>
      </c>
      <c r="L662" t="s">
        <v>243</v>
      </c>
    </row>
    <row r="663" spans="1:12" x14ac:dyDescent="0.3">
      <c r="A663" s="57" t="s">
        <v>926</v>
      </c>
      <c r="B663" s="57" t="s">
        <v>255</v>
      </c>
      <c r="C663" s="57" t="s">
        <v>237</v>
      </c>
      <c r="D663" s="57" t="s">
        <v>238</v>
      </c>
      <c r="E663" s="57" t="s">
        <v>149</v>
      </c>
      <c r="F663">
        <v>5</v>
      </c>
      <c r="G663">
        <v>765</v>
      </c>
      <c r="H663" s="11">
        <v>45291</v>
      </c>
      <c r="I663" s="57" t="s">
        <v>291</v>
      </c>
      <c r="J663" s="57" t="s">
        <v>150</v>
      </c>
      <c r="K663" s="57" t="s">
        <v>238</v>
      </c>
      <c r="L663" t="s">
        <v>302</v>
      </c>
    </row>
    <row r="664" spans="1:12" x14ac:dyDescent="0.3">
      <c r="A664" s="57" t="s">
        <v>927</v>
      </c>
      <c r="B664" s="57" t="s">
        <v>268</v>
      </c>
      <c r="C664" s="57" t="s">
        <v>269</v>
      </c>
      <c r="D664" s="57" t="s">
        <v>148</v>
      </c>
      <c r="E664" s="57" t="s">
        <v>142</v>
      </c>
      <c r="F664">
        <v>7</v>
      </c>
      <c r="G664">
        <v>7000</v>
      </c>
      <c r="H664" s="11">
        <v>45096</v>
      </c>
      <c r="I664" s="57" t="s">
        <v>257</v>
      </c>
      <c r="J664" s="57" t="s">
        <v>248</v>
      </c>
      <c r="K664" s="57" t="s">
        <v>238</v>
      </c>
      <c r="L664" t="s">
        <v>243</v>
      </c>
    </row>
    <row r="665" spans="1:12" x14ac:dyDescent="0.3">
      <c r="A665" s="57" t="s">
        <v>928</v>
      </c>
      <c r="B665" s="57" t="s">
        <v>275</v>
      </c>
      <c r="C665" s="57" t="s">
        <v>276</v>
      </c>
      <c r="D665" s="57" t="s">
        <v>238</v>
      </c>
      <c r="E665" s="57" t="s">
        <v>252</v>
      </c>
      <c r="F665">
        <v>0</v>
      </c>
      <c r="G665">
        <v>3987</v>
      </c>
      <c r="H665" s="11">
        <v>45271</v>
      </c>
      <c r="I665" s="57" t="s">
        <v>92</v>
      </c>
      <c r="J665" s="57" t="s">
        <v>143</v>
      </c>
      <c r="K665" s="57" t="s">
        <v>197</v>
      </c>
      <c r="L665" t="s">
        <v>258</v>
      </c>
    </row>
    <row r="666" spans="1:12" x14ac:dyDescent="0.3">
      <c r="A666" s="57" t="s">
        <v>929</v>
      </c>
      <c r="B666" s="57" t="s">
        <v>268</v>
      </c>
      <c r="C666" s="57" t="s">
        <v>269</v>
      </c>
      <c r="D666" s="57" t="s">
        <v>148</v>
      </c>
      <c r="E666" s="57" t="s">
        <v>256</v>
      </c>
      <c r="F666">
        <v>0</v>
      </c>
      <c r="G666">
        <v>5900</v>
      </c>
      <c r="H666" s="11">
        <v>45514</v>
      </c>
      <c r="I666" s="57" t="s">
        <v>257</v>
      </c>
      <c r="J666" s="57" t="s">
        <v>150</v>
      </c>
      <c r="K666" s="57" t="s">
        <v>239</v>
      </c>
      <c r="L666" t="s">
        <v>240</v>
      </c>
    </row>
    <row r="667" spans="1:12" x14ac:dyDescent="0.3">
      <c r="A667" s="57" t="s">
        <v>930</v>
      </c>
      <c r="B667" s="57" t="s">
        <v>262</v>
      </c>
      <c r="C667" s="57" t="s">
        <v>263</v>
      </c>
      <c r="D667" s="57" t="s">
        <v>148</v>
      </c>
      <c r="E667" s="57" t="s">
        <v>256</v>
      </c>
      <c r="F667">
        <v>10</v>
      </c>
      <c r="G667">
        <v>2811</v>
      </c>
      <c r="H667" s="11">
        <v>45489</v>
      </c>
      <c r="I667" s="57" t="s">
        <v>95</v>
      </c>
      <c r="J667" s="57" t="s">
        <v>147</v>
      </c>
      <c r="K667" s="57" t="s">
        <v>239</v>
      </c>
      <c r="L667" t="s">
        <v>258</v>
      </c>
    </row>
    <row r="668" spans="1:12" x14ac:dyDescent="0.3">
      <c r="A668" s="57" t="s">
        <v>931</v>
      </c>
      <c r="B668" s="57" t="s">
        <v>195</v>
      </c>
      <c r="C668" s="57" t="s">
        <v>196</v>
      </c>
      <c r="D668" s="57" t="s">
        <v>153</v>
      </c>
      <c r="E668" s="57" t="s">
        <v>256</v>
      </c>
      <c r="F668">
        <v>10</v>
      </c>
      <c r="G668">
        <v>5900</v>
      </c>
      <c r="H668" s="11">
        <v>45259</v>
      </c>
      <c r="I668" s="57" t="s">
        <v>92</v>
      </c>
      <c r="J668" s="57" t="s">
        <v>147</v>
      </c>
      <c r="K668" s="57" t="s">
        <v>249</v>
      </c>
      <c r="L668" t="s">
        <v>240</v>
      </c>
    </row>
    <row r="669" spans="1:12" x14ac:dyDescent="0.3">
      <c r="A669" s="57" t="s">
        <v>932</v>
      </c>
      <c r="B669" s="57" t="s">
        <v>255</v>
      </c>
      <c r="C669" s="57" t="s">
        <v>237</v>
      </c>
      <c r="D669" s="57" t="s">
        <v>153</v>
      </c>
      <c r="E669" s="57" t="s">
        <v>256</v>
      </c>
      <c r="F669">
        <v>9</v>
      </c>
      <c r="G669">
        <v>7000</v>
      </c>
      <c r="H669" s="11">
        <v>45482</v>
      </c>
      <c r="I669" s="57" t="s">
        <v>89</v>
      </c>
      <c r="J669" s="57" t="s">
        <v>150</v>
      </c>
      <c r="K669" s="57" t="s">
        <v>249</v>
      </c>
      <c r="L669" t="s">
        <v>243</v>
      </c>
    </row>
    <row r="670" spans="1:12" x14ac:dyDescent="0.3">
      <c r="A670" s="57" t="s">
        <v>933</v>
      </c>
      <c r="B670" s="57" t="s">
        <v>273</v>
      </c>
      <c r="C670" s="57" t="s">
        <v>237</v>
      </c>
      <c r="D670" s="57" t="s">
        <v>141</v>
      </c>
      <c r="E670" s="57" t="s">
        <v>252</v>
      </c>
      <c r="F670">
        <v>7</v>
      </c>
      <c r="G670">
        <v>7000</v>
      </c>
      <c r="H670" s="11">
        <v>45369</v>
      </c>
      <c r="I670" s="57" t="s">
        <v>92</v>
      </c>
      <c r="J670" s="57" t="s">
        <v>143</v>
      </c>
      <c r="K670" s="57" t="s">
        <v>249</v>
      </c>
      <c r="L670" t="s">
        <v>243</v>
      </c>
    </row>
    <row r="671" spans="1:12" x14ac:dyDescent="0.3">
      <c r="A671" s="57" t="s">
        <v>934</v>
      </c>
      <c r="B671" s="57" t="s">
        <v>275</v>
      </c>
      <c r="C671" s="57" t="s">
        <v>276</v>
      </c>
      <c r="D671" s="57" t="s">
        <v>144</v>
      </c>
      <c r="E671" s="57" t="s">
        <v>149</v>
      </c>
      <c r="F671">
        <v>10</v>
      </c>
      <c r="G671">
        <v>7000</v>
      </c>
      <c r="H671" s="11">
        <v>45078</v>
      </c>
      <c r="I671" s="57" t="s">
        <v>291</v>
      </c>
      <c r="J671" s="57" t="s">
        <v>145</v>
      </c>
      <c r="K671" s="57" t="s">
        <v>238</v>
      </c>
      <c r="L671" t="s">
        <v>243</v>
      </c>
    </row>
    <row r="672" spans="1:12" x14ac:dyDescent="0.3">
      <c r="A672" s="57" t="s">
        <v>935</v>
      </c>
      <c r="B672" s="57" t="s">
        <v>247</v>
      </c>
      <c r="C672" s="57" t="s">
        <v>237</v>
      </c>
      <c r="D672" s="57" t="s">
        <v>153</v>
      </c>
      <c r="E672" s="57" t="s">
        <v>149</v>
      </c>
      <c r="F672">
        <v>10</v>
      </c>
      <c r="G672">
        <v>5900</v>
      </c>
      <c r="H672" s="11">
        <v>45617</v>
      </c>
      <c r="I672" s="57" t="s">
        <v>95</v>
      </c>
      <c r="J672" s="57" t="s">
        <v>248</v>
      </c>
      <c r="K672" s="57" t="s">
        <v>239</v>
      </c>
      <c r="L672" t="s">
        <v>240</v>
      </c>
    </row>
    <row r="673" spans="1:12" x14ac:dyDescent="0.3">
      <c r="A673" s="57" t="s">
        <v>936</v>
      </c>
      <c r="B673" s="57" t="s">
        <v>262</v>
      </c>
      <c r="C673" s="57" t="s">
        <v>263</v>
      </c>
      <c r="D673" s="57" t="s">
        <v>146</v>
      </c>
      <c r="E673" s="57" t="s">
        <v>256</v>
      </c>
      <c r="F673">
        <v>0</v>
      </c>
      <c r="G673">
        <v>7000</v>
      </c>
      <c r="H673" s="11">
        <v>45451</v>
      </c>
      <c r="I673" s="57" t="s">
        <v>291</v>
      </c>
      <c r="J673" s="57" t="s">
        <v>147</v>
      </c>
      <c r="K673" s="57" t="s">
        <v>264</v>
      </c>
      <c r="L673" t="s">
        <v>243</v>
      </c>
    </row>
    <row r="674" spans="1:12" x14ac:dyDescent="0.3">
      <c r="A674" s="57" t="s">
        <v>937</v>
      </c>
      <c r="B674" s="57" t="s">
        <v>195</v>
      </c>
      <c r="C674" s="57" t="s">
        <v>196</v>
      </c>
      <c r="D674" s="57" t="s">
        <v>238</v>
      </c>
      <c r="E674" s="57" t="s">
        <v>256</v>
      </c>
      <c r="F674">
        <v>10</v>
      </c>
      <c r="G674">
        <v>2640</v>
      </c>
      <c r="H674" s="11">
        <v>44990</v>
      </c>
      <c r="I674" s="57" t="s">
        <v>291</v>
      </c>
      <c r="J674" s="57" t="s">
        <v>147</v>
      </c>
      <c r="K674" s="57" t="s">
        <v>238</v>
      </c>
      <c r="L674" t="s">
        <v>258</v>
      </c>
    </row>
    <row r="675" spans="1:12" x14ac:dyDescent="0.3">
      <c r="A675" s="57" t="s">
        <v>938</v>
      </c>
      <c r="B675" s="57" t="s">
        <v>247</v>
      </c>
      <c r="C675" s="57" t="s">
        <v>237</v>
      </c>
      <c r="D675" s="57" t="s">
        <v>148</v>
      </c>
      <c r="E675" s="57" t="s">
        <v>260</v>
      </c>
      <c r="F675">
        <v>0</v>
      </c>
      <c r="G675">
        <v>5900</v>
      </c>
      <c r="H675" s="11">
        <v>44994</v>
      </c>
      <c r="I675" s="57" t="s">
        <v>95</v>
      </c>
      <c r="J675" s="57" t="s">
        <v>248</v>
      </c>
      <c r="K675" s="57" t="s">
        <v>238</v>
      </c>
      <c r="L675" t="s">
        <v>240</v>
      </c>
    </row>
    <row r="676" spans="1:12" x14ac:dyDescent="0.3">
      <c r="A676" s="57" t="s">
        <v>939</v>
      </c>
      <c r="B676" s="57" t="s">
        <v>255</v>
      </c>
      <c r="C676" s="57" t="s">
        <v>237</v>
      </c>
      <c r="D676" s="57" t="s">
        <v>152</v>
      </c>
      <c r="E676" s="57" t="s">
        <v>252</v>
      </c>
      <c r="F676">
        <v>10</v>
      </c>
      <c r="G676">
        <v>1048</v>
      </c>
      <c r="H676" s="11">
        <v>45269</v>
      </c>
      <c r="I676" s="57" t="s">
        <v>257</v>
      </c>
      <c r="J676" s="57" t="s">
        <v>147</v>
      </c>
      <c r="K676" s="57" t="s">
        <v>249</v>
      </c>
      <c r="L676" t="s">
        <v>258</v>
      </c>
    </row>
    <row r="677" spans="1:12" x14ac:dyDescent="0.3">
      <c r="A677" s="57" t="s">
        <v>940</v>
      </c>
      <c r="B677" s="57" t="s">
        <v>195</v>
      </c>
      <c r="C677" s="57" t="s">
        <v>196</v>
      </c>
      <c r="D677" s="57" t="s">
        <v>238</v>
      </c>
      <c r="E677" s="57" t="s">
        <v>149</v>
      </c>
      <c r="F677">
        <v>7</v>
      </c>
      <c r="G677">
        <v>7000</v>
      </c>
      <c r="H677" s="11">
        <v>45024</v>
      </c>
      <c r="I677" s="57" t="s">
        <v>100</v>
      </c>
      <c r="J677" s="57" t="s">
        <v>248</v>
      </c>
      <c r="K677" s="57" t="s">
        <v>253</v>
      </c>
      <c r="L677" t="s">
        <v>243</v>
      </c>
    </row>
    <row r="678" spans="1:12" x14ac:dyDescent="0.3">
      <c r="A678" s="57" t="s">
        <v>941</v>
      </c>
      <c r="B678" s="57" t="s">
        <v>255</v>
      </c>
      <c r="C678" s="57" t="s">
        <v>237</v>
      </c>
      <c r="D678" s="57" t="s">
        <v>238</v>
      </c>
      <c r="E678" s="57" t="s">
        <v>149</v>
      </c>
      <c r="F678">
        <v>5</v>
      </c>
      <c r="G678">
        <v>7000</v>
      </c>
      <c r="H678" s="11">
        <v>45354</v>
      </c>
      <c r="I678" s="57" t="s">
        <v>291</v>
      </c>
      <c r="J678" s="57" t="s">
        <v>147</v>
      </c>
      <c r="K678" s="57" t="s">
        <v>238</v>
      </c>
      <c r="L678" t="s">
        <v>243</v>
      </c>
    </row>
    <row r="679" spans="1:12" x14ac:dyDescent="0.3">
      <c r="A679" s="57" t="s">
        <v>942</v>
      </c>
      <c r="B679" s="57" t="s">
        <v>251</v>
      </c>
      <c r="C679" s="57" t="s">
        <v>237</v>
      </c>
      <c r="D679" s="57" t="s">
        <v>148</v>
      </c>
      <c r="E679" s="57" t="s">
        <v>142</v>
      </c>
      <c r="F679">
        <v>7</v>
      </c>
      <c r="G679">
        <v>412</v>
      </c>
      <c r="H679" s="11">
        <v>45083</v>
      </c>
      <c r="I679" s="57" t="s">
        <v>92</v>
      </c>
      <c r="J679" s="57" t="s">
        <v>150</v>
      </c>
      <c r="K679" s="57" t="s">
        <v>249</v>
      </c>
      <c r="L679" t="s">
        <v>302</v>
      </c>
    </row>
    <row r="680" spans="1:12" x14ac:dyDescent="0.3">
      <c r="A680" s="57" t="s">
        <v>943</v>
      </c>
      <c r="B680" s="57" t="s">
        <v>262</v>
      </c>
      <c r="C680" s="57" t="s">
        <v>263</v>
      </c>
      <c r="D680" s="57" t="s">
        <v>141</v>
      </c>
      <c r="E680" s="57" t="s">
        <v>260</v>
      </c>
      <c r="F680">
        <v>7</v>
      </c>
      <c r="G680">
        <v>5900</v>
      </c>
      <c r="H680" s="11">
        <v>45200</v>
      </c>
      <c r="I680" s="57" t="s">
        <v>242</v>
      </c>
      <c r="J680" s="57" t="s">
        <v>145</v>
      </c>
      <c r="K680" s="57" t="s">
        <v>253</v>
      </c>
      <c r="L680" t="s">
        <v>240</v>
      </c>
    </row>
    <row r="681" spans="1:12" x14ac:dyDescent="0.3">
      <c r="A681" s="57" t="s">
        <v>944</v>
      </c>
      <c r="B681" s="57" t="s">
        <v>255</v>
      </c>
      <c r="C681" s="57" t="s">
        <v>237</v>
      </c>
      <c r="D681" s="57" t="s">
        <v>148</v>
      </c>
      <c r="E681" s="57" t="s">
        <v>260</v>
      </c>
      <c r="F681">
        <v>8</v>
      </c>
      <c r="G681">
        <v>7000</v>
      </c>
      <c r="H681" s="11">
        <v>45474</v>
      </c>
      <c r="I681" s="57" t="s">
        <v>242</v>
      </c>
      <c r="J681" s="57" t="s">
        <v>147</v>
      </c>
      <c r="K681" s="57" t="s">
        <v>197</v>
      </c>
      <c r="L681" t="s">
        <v>243</v>
      </c>
    </row>
    <row r="682" spans="1:12" x14ac:dyDescent="0.3">
      <c r="A682" s="57" t="s">
        <v>945</v>
      </c>
      <c r="B682" s="57" t="s">
        <v>273</v>
      </c>
      <c r="C682" s="57" t="s">
        <v>237</v>
      </c>
      <c r="D682" s="57" t="s">
        <v>146</v>
      </c>
      <c r="E682" s="57" t="s">
        <v>142</v>
      </c>
      <c r="F682">
        <v>7</v>
      </c>
      <c r="G682">
        <v>3281</v>
      </c>
      <c r="H682" s="11">
        <v>44930</v>
      </c>
      <c r="I682" s="57" t="s">
        <v>89</v>
      </c>
      <c r="J682" s="57" t="s">
        <v>150</v>
      </c>
      <c r="K682" s="57" t="s">
        <v>253</v>
      </c>
      <c r="L682" t="s">
        <v>258</v>
      </c>
    </row>
    <row r="683" spans="1:12" x14ac:dyDescent="0.3">
      <c r="A683" s="57" t="s">
        <v>946</v>
      </c>
      <c r="B683" s="57" t="s">
        <v>236</v>
      </c>
      <c r="C683" s="57" t="s">
        <v>237</v>
      </c>
      <c r="D683" s="57" t="s">
        <v>238</v>
      </c>
      <c r="E683" s="57" t="s">
        <v>252</v>
      </c>
      <c r="F683">
        <v>3</v>
      </c>
      <c r="G683">
        <v>4199</v>
      </c>
      <c r="H683" s="11">
        <v>45243</v>
      </c>
      <c r="I683" s="57" t="s">
        <v>92</v>
      </c>
      <c r="J683" s="57" t="s">
        <v>248</v>
      </c>
      <c r="K683" s="57" t="s">
        <v>197</v>
      </c>
      <c r="L683" t="s">
        <v>240</v>
      </c>
    </row>
    <row r="684" spans="1:12" x14ac:dyDescent="0.3">
      <c r="A684" s="57" t="s">
        <v>947</v>
      </c>
      <c r="B684" s="57" t="s">
        <v>273</v>
      </c>
      <c r="C684" s="57" t="s">
        <v>237</v>
      </c>
      <c r="D684" s="57" t="s">
        <v>151</v>
      </c>
      <c r="E684" s="57" t="s">
        <v>142</v>
      </c>
      <c r="F684">
        <v>5</v>
      </c>
      <c r="G684">
        <v>1818</v>
      </c>
      <c r="H684" s="11">
        <v>45463</v>
      </c>
      <c r="I684" s="57" t="s">
        <v>95</v>
      </c>
      <c r="J684" s="57" t="s">
        <v>150</v>
      </c>
      <c r="K684" s="57" t="s">
        <v>239</v>
      </c>
      <c r="L684" t="s">
        <v>258</v>
      </c>
    </row>
    <row r="685" spans="1:12" x14ac:dyDescent="0.3">
      <c r="A685" s="57" t="s">
        <v>948</v>
      </c>
      <c r="B685" s="57" t="s">
        <v>247</v>
      </c>
      <c r="C685" s="57" t="s">
        <v>237</v>
      </c>
      <c r="D685" s="57" t="s">
        <v>148</v>
      </c>
      <c r="E685" s="57" t="s">
        <v>252</v>
      </c>
      <c r="F685">
        <v>10</v>
      </c>
      <c r="G685">
        <v>5900</v>
      </c>
      <c r="H685" s="11">
        <v>44993</v>
      </c>
      <c r="I685" s="57" t="s">
        <v>95</v>
      </c>
      <c r="J685" s="57" t="s">
        <v>150</v>
      </c>
      <c r="K685" s="57" t="s">
        <v>197</v>
      </c>
      <c r="L685" t="s">
        <v>240</v>
      </c>
    </row>
    <row r="686" spans="1:12" x14ac:dyDescent="0.3">
      <c r="A686" s="57" t="s">
        <v>949</v>
      </c>
      <c r="B686" s="57" t="s">
        <v>268</v>
      </c>
      <c r="C686" s="57" t="s">
        <v>269</v>
      </c>
      <c r="D686" s="57" t="s">
        <v>238</v>
      </c>
      <c r="E686" s="57" t="s">
        <v>142</v>
      </c>
      <c r="F686">
        <v>10</v>
      </c>
      <c r="G686">
        <v>5900</v>
      </c>
      <c r="H686" s="11">
        <v>45600</v>
      </c>
      <c r="I686" s="57" t="s">
        <v>266</v>
      </c>
      <c r="J686" s="57" t="s">
        <v>147</v>
      </c>
      <c r="K686" s="57" t="s">
        <v>238</v>
      </c>
      <c r="L686" t="s">
        <v>240</v>
      </c>
    </row>
    <row r="687" spans="1:12" x14ac:dyDescent="0.3">
      <c r="A687" s="57" t="s">
        <v>950</v>
      </c>
      <c r="B687" s="57" t="s">
        <v>251</v>
      </c>
      <c r="C687" s="57" t="s">
        <v>237</v>
      </c>
      <c r="D687" s="57" t="s">
        <v>238</v>
      </c>
      <c r="E687" s="57" t="s">
        <v>256</v>
      </c>
      <c r="F687">
        <v>7</v>
      </c>
      <c r="G687">
        <v>7000</v>
      </c>
      <c r="H687" s="11">
        <v>45581</v>
      </c>
      <c r="I687" s="57" t="s">
        <v>242</v>
      </c>
      <c r="J687" s="57" t="s">
        <v>145</v>
      </c>
      <c r="K687" s="57" t="s">
        <v>249</v>
      </c>
      <c r="L687" t="s">
        <v>243</v>
      </c>
    </row>
    <row r="688" spans="1:12" x14ac:dyDescent="0.3">
      <c r="A688" s="57" t="s">
        <v>951</v>
      </c>
      <c r="B688" s="57" t="s">
        <v>275</v>
      </c>
      <c r="C688" s="57" t="s">
        <v>276</v>
      </c>
      <c r="D688" s="57" t="s">
        <v>153</v>
      </c>
      <c r="E688" s="57" t="s">
        <v>256</v>
      </c>
      <c r="F688">
        <v>10</v>
      </c>
      <c r="G688">
        <v>4219</v>
      </c>
      <c r="H688" s="11">
        <v>45202</v>
      </c>
      <c r="I688" s="57" t="s">
        <v>266</v>
      </c>
      <c r="J688" s="57" t="s">
        <v>147</v>
      </c>
      <c r="K688" s="57" t="s">
        <v>253</v>
      </c>
      <c r="L688" t="s">
        <v>240</v>
      </c>
    </row>
    <row r="689" spans="1:12" x14ac:dyDescent="0.3">
      <c r="A689" s="57" t="s">
        <v>952</v>
      </c>
      <c r="B689" s="57" t="s">
        <v>247</v>
      </c>
      <c r="C689" s="57" t="s">
        <v>237</v>
      </c>
      <c r="D689" s="57" t="s">
        <v>238</v>
      </c>
      <c r="E689" s="57" t="s">
        <v>142</v>
      </c>
      <c r="F689">
        <v>7</v>
      </c>
      <c r="G689">
        <v>5900</v>
      </c>
      <c r="H689" s="11">
        <v>45573</v>
      </c>
      <c r="I689" s="57" t="s">
        <v>291</v>
      </c>
      <c r="J689" s="57" t="s">
        <v>248</v>
      </c>
      <c r="K689" s="57" t="s">
        <v>238</v>
      </c>
      <c r="L689" t="s">
        <v>240</v>
      </c>
    </row>
    <row r="690" spans="1:12" x14ac:dyDescent="0.3">
      <c r="A690" s="57" t="s">
        <v>953</v>
      </c>
      <c r="B690" s="57" t="s">
        <v>262</v>
      </c>
      <c r="C690" s="57" t="s">
        <v>263</v>
      </c>
      <c r="D690" s="57" t="s">
        <v>151</v>
      </c>
      <c r="E690" s="57" t="s">
        <v>142</v>
      </c>
      <c r="F690">
        <v>0</v>
      </c>
      <c r="G690">
        <v>5900</v>
      </c>
      <c r="H690" s="11">
        <v>45418</v>
      </c>
      <c r="I690" s="57" t="s">
        <v>92</v>
      </c>
      <c r="J690" s="57" t="s">
        <v>150</v>
      </c>
      <c r="K690" s="57" t="s">
        <v>239</v>
      </c>
      <c r="L690" t="s">
        <v>240</v>
      </c>
    </row>
    <row r="691" spans="1:12" x14ac:dyDescent="0.3">
      <c r="A691" s="57" t="s">
        <v>954</v>
      </c>
      <c r="B691" s="57" t="s">
        <v>268</v>
      </c>
      <c r="C691" s="57" t="s">
        <v>269</v>
      </c>
      <c r="D691" s="57" t="s">
        <v>151</v>
      </c>
      <c r="E691" s="57" t="s">
        <v>260</v>
      </c>
      <c r="F691">
        <v>5</v>
      </c>
      <c r="G691">
        <v>5900</v>
      </c>
      <c r="H691" s="11">
        <v>45314</v>
      </c>
      <c r="I691" s="57" t="s">
        <v>291</v>
      </c>
      <c r="J691" s="57" t="s">
        <v>147</v>
      </c>
      <c r="K691" s="57" t="s">
        <v>264</v>
      </c>
      <c r="L691" t="s">
        <v>240</v>
      </c>
    </row>
    <row r="692" spans="1:12" x14ac:dyDescent="0.3">
      <c r="A692" s="57" t="s">
        <v>955</v>
      </c>
      <c r="B692" s="57" t="s">
        <v>275</v>
      </c>
      <c r="C692" s="57" t="s">
        <v>276</v>
      </c>
      <c r="D692" s="57" t="s">
        <v>238</v>
      </c>
      <c r="E692" s="57" t="s">
        <v>252</v>
      </c>
      <c r="F692">
        <v>10</v>
      </c>
      <c r="G692">
        <v>3898</v>
      </c>
      <c r="H692" s="11">
        <v>45614</v>
      </c>
      <c r="I692" s="57" t="s">
        <v>291</v>
      </c>
      <c r="J692" s="57" t="s">
        <v>147</v>
      </c>
      <c r="K692" s="57" t="s">
        <v>264</v>
      </c>
      <c r="L692" t="s">
        <v>258</v>
      </c>
    </row>
    <row r="693" spans="1:12" x14ac:dyDescent="0.3">
      <c r="A693" s="57" t="s">
        <v>956</v>
      </c>
      <c r="B693" s="57" t="s">
        <v>268</v>
      </c>
      <c r="C693" s="57" t="s">
        <v>269</v>
      </c>
      <c r="D693" s="57" t="s">
        <v>238</v>
      </c>
      <c r="E693" s="57" t="s">
        <v>252</v>
      </c>
      <c r="F693">
        <v>5</v>
      </c>
      <c r="G693">
        <v>7000</v>
      </c>
      <c r="H693" s="11">
        <v>45123</v>
      </c>
      <c r="I693" s="57" t="s">
        <v>95</v>
      </c>
      <c r="J693" s="57" t="s">
        <v>147</v>
      </c>
      <c r="K693" s="57" t="s">
        <v>249</v>
      </c>
      <c r="L693" t="s">
        <v>243</v>
      </c>
    </row>
    <row r="694" spans="1:12" x14ac:dyDescent="0.3">
      <c r="A694" s="57" t="s">
        <v>957</v>
      </c>
      <c r="B694" s="57" t="s">
        <v>245</v>
      </c>
      <c r="C694" s="57" t="s">
        <v>237</v>
      </c>
      <c r="D694" s="57" t="s">
        <v>144</v>
      </c>
      <c r="E694" s="57" t="s">
        <v>252</v>
      </c>
      <c r="F694">
        <v>5</v>
      </c>
      <c r="G694">
        <v>7000</v>
      </c>
      <c r="H694" s="11">
        <v>45435</v>
      </c>
      <c r="I694" s="57" t="s">
        <v>242</v>
      </c>
      <c r="J694" s="57" t="s">
        <v>143</v>
      </c>
      <c r="K694" s="57" t="s">
        <v>197</v>
      </c>
      <c r="L694" t="s">
        <v>243</v>
      </c>
    </row>
    <row r="695" spans="1:12" x14ac:dyDescent="0.3">
      <c r="A695" s="57" t="s">
        <v>958</v>
      </c>
      <c r="B695" s="57" t="s">
        <v>275</v>
      </c>
      <c r="C695" s="57" t="s">
        <v>276</v>
      </c>
      <c r="D695" s="57" t="s">
        <v>146</v>
      </c>
      <c r="E695" s="57" t="s">
        <v>252</v>
      </c>
      <c r="F695">
        <v>0</v>
      </c>
      <c r="G695">
        <v>2758</v>
      </c>
      <c r="H695" s="11">
        <v>45529</v>
      </c>
      <c r="I695" s="57" t="s">
        <v>95</v>
      </c>
      <c r="J695" s="57" t="s">
        <v>150</v>
      </c>
      <c r="K695" s="57" t="s">
        <v>239</v>
      </c>
      <c r="L695" t="s">
        <v>258</v>
      </c>
    </row>
    <row r="696" spans="1:12" x14ac:dyDescent="0.3">
      <c r="A696" s="57" t="s">
        <v>959</v>
      </c>
      <c r="B696" s="57" t="s">
        <v>275</v>
      </c>
      <c r="C696" s="57" t="s">
        <v>276</v>
      </c>
      <c r="D696" s="57" t="s">
        <v>151</v>
      </c>
      <c r="E696" s="57" t="s">
        <v>260</v>
      </c>
      <c r="F696">
        <v>5</v>
      </c>
      <c r="G696">
        <v>5900</v>
      </c>
      <c r="H696" s="11">
        <v>45397</v>
      </c>
      <c r="I696" s="57" t="s">
        <v>100</v>
      </c>
      <c r="J696" s="57" t="s">
        <v>147</v>
      </c>
      <c r="K696" s="57" t="s">
        <v>238</v>
      </c>
      <c r="L696" t="s">
        <v>240</v>
      </c>
    </row>
    <row r="697" spans="1:12" x14ac:dyDescent="0.3">
      <c r="A697" s="57" t="s">
        <v>960</v>
      </c>
      <c r="B697" s="57" t="s">
        <v>236</v>
      </c>
      <c r="C697" s="57" t="s">
        <v>237</v>
      </c>
      <c r="D697" s="57" t="s">
        <v>152</v>
      </c>
      <c r="E697" s="57" t="s">
        <v>142</v>
      </c>
      <c r="F697">
        <v>1</v>
      </c>
      <c r="G697">
        <v>7000</v>
      </c>
      <c r="H697" s="11">
        <v>45475</v>
      </c>
      <c r="I697" s="57" t="s">
        <v>257</v>
      </c>
      <c r="J697" s="57" t="s">
        <v>150</v>
      </c>
      <c r="K697" s="57" t="s">
        <v>238</v>
      </c>
      <c r="L697" t="s">
        <v>243</v>
      </c>
    </row>
    <row r="698" spans="1:12" x14ac:dyDescent="0.3">
      <c r="A698" s="57" t="s">
        <v>961</v>
      </c>
      <c r="B698" s="57" t="s">
        <v>255</v>
      </c>
      <c r="C698" s="57" t="s">
        <v>237</v>
      </c>
      <c r="D698" s="57" t="s">
        <v>238</v>
      </c>
      <c r="E698" s="57" t="s">
        <v>260</v>
      </c>
      <c r="F698">
        <v>7</v>
      </c>
      <c r="G698">
        <v>5900</v>
      </c>
      <c r="H698" s="11">
        <v>45559</v>
      </c>
      <c r="I698" s="57" t="s">
        <v>95</v>
      </c>
      <c r="J698" s="57" t="s">
        <v>150</v>
      </c>
      <c r="K698" s="57" t="s">
        <v>238</v>
      </c>
      <c r="L698" t="s">
        <v>240</v>
      </c>
    </row>
    <row r="699" spans="1:12" x14ac:dyDescent="0.3">
      <c r="A699" s="57" t="s">
        <v>962</v>
      </c>
      <c r="B699" s="57" t="s">
        <v>273</v>
      </c>
      <c r="C699" s="57" t="s">
        <v>237</v>
      </c>
      <c r="D699" s="57" t="s">
        <v>144</v>
      </c>
      <c r="E699" s="57" t="s">
        <v>149</v>
      </c>
      <c r="F699">
        <v>0</v>
      </c>
      <c r="G699">
        <v>5900</v>
      </c>
      <c r="H699" s="11">
        <v>45180</v>
      </c>
      <c r="I699" s="57" t="s">
        <v>100</v>
      </c>
      <c r="J699" s="57" t="s">
        <v>143</v>
      </c>
      <c r="K699" s="57" t="s">
        <v>197</v>
      </c>
      <c r="L699" t="s">
        <v>240</v>
      </c>
    </row>
    <row r="700" spans="1:12" x14ac:dyDescent="0.3">
      <c r="A700" s="57" t="s">
        <v>963</v>
      </c>
      <c r="B700" s="57" t="s">
        <v>195</v>
      </c>
      <c r="C700" s="57" t="s">
        <v>196</v>
      </c>
      <c r="D700" s="57" t="s">
        <v>152</v>
      </c>
      <c r="E700" s="57" t="s">
        <v>256</v>
      </c>
      <c r="F700">
        <v>7</v>
      </c>
      <c r="G700">
        <v>5900</v>
      </c>
      <c r="H700" s="11">
        <v>45269</v>
      </c>
      <c r="I700" s="57" t="s">
        <v>89</v>
      </c>
      <c r="J700" s="57" t="s">
        <v>145</v>
      </c>
      <c r="K700" s="57" t="s">
        <v>239</v>
      </c>
      <c r="L700" t="s">
        <v>240</v>
      </c>
    </row>
    <row r="701" spans="1:12" x14ac:dyDescent="0.3">
      <c r="A701" s="57" t="s">
        <v>964</v>
      </c>
      <c r="B701" s="57" t="s">
        <v>268</v>
      </c>
      <c r="C701" s="57" t="s">
        <v>269</v>
      </c>
      <c r="D701" s="57" t="s">
        <v>151</v>
      </c>
      <c r="E701" s="57" t="s">
        <v>256</v>
      </c>
      <c r="F701">
        <v>7</v>
      </c>
      <c r="G701">
        <v>7000</v>
      </c>
      <c r="H701" s="11">
        <v>45595</v>
      </c>
      <c r="I701" s="57" t="s">
        <v>266</v>
      </c>
      <c r="J701" s="57" t="s">
        <v>143</v>
      </c>
      <c r="K701" s="57" t="s">
        <v>264</v>
      </c>
      <c r="L701" t="s">
        <v>243</v>
      </c>
    </row>
    <row r="702" spans="1:12" x14ac:dyDescent="0.3">
      <c r="A702" s="57" t="s">
        <v>965</v>
      </c>
      <c r="B702" s="57" t="s">
        <v>262</v>
      </c>
      <c r="C702" s="57" t="s">
        <v>263</v>
      </c>
      <c r="D702" s="57" t="s">
        <v>144</v>
      </c>
      <c r="E702" s="57" t="s">
        <v>256</v>
      </c>
      <c r="F702">
        <v>2</v>
      </c>
      <c r="G702">
        <v>4657</v>
      </c>
      <c r="H702" s="11">
        <v>44968</v>
      </c>
      <c r="I702" s="57" t="s">
        <v>92</v>
      </c>
      <c r="J702" s="57" t="s">
        <v>143</v>
      </c>
      <c r="K702" s="57" t="s">
        <v>239</v>
      </c>
      <c r="L702" t="s">
        <v>240</v>
      </c>
    </row>
    <row r="703" spans="1:12" x14ac:dyDescent="0.3">
      <c r="A703" s="57" t="s">
        <v>966</v>
      </c>
      <c r="B703" s="57" t="s">
        <v>262</v>
      </c>
      <c r="C703" s="57" t="s">
        <v>263</v>
      </c>
      <c r="D703" s="57" t="s">
        <v>141</v>
      </c>
      <c r="E703" s="57" t="s">
        <v>142</v>
      </c>
      <c r="F703">
        <v>10</v>
      </c>
      <c r="G703">
        <v>3539</v>
      </c>
      <c r="H703" s="11">
        <v>45634</v>
      </c>
      <c r="I703" s="57" t="s">
        <v>291</v>
      </c>
      <c r="J703" s="57" t="s">
        <v>150</v>
      </c>
      <c r="K703" s="57" t="s">
        <v>238</v>
      </c>
      <c r="L703" t="s">
        <v>258</v>
      </c>
    </row>
    <row r="704" spans="1:12" x14ac:dyDescent="0.3">
      <c r="A704" s="57" t="s">
        <v>967</v>
      </c>
      <c r="B704" s="57" t="s">
        <v>245</v>
      </c>
      <c r="C704" s="57" t="s">
        <v>237</v>
      </c>
      <c r="D704" s="57" t="s">
        <v>144</v>
      </c>
      <c r="E704" s="57" t="s">
        <v>149</v>
      </c>
      <c r="F704">
        <v>0</v>
      </c>
      <c r="G704">
        <v>2694</v>
      </c>
      <c r="H704" s="11">
        <v>45034</v>
      </c>
      <c r="I704" s="57" t="s">
        <v>100</v>
      </c>
      <c r="J704" s="57" t="s">
        <v>147</v>
      </c>
      <c r="K704" s="57" t="s">
        <v>249</v>
      </c>
      <c r="L704" t="s">
        <v>258</v>
      </c>
    </row>
    <row r="705" spans="1:12" x14ac:dyDescent="0.3">
      <c r="A705" s="57" t="s">
        <v>968</v>
      </c>
      <c r="B705" s="57" t="s">
        <v>251</v>
      </c>
      <c r="C705" s="57" t="s">
        <v>237</v>
      </c>
      <c r="D705" s="57" t="s">
        <v>146</v>
      </c>
      <c r="E705" s="57" t="s">
        <v>252</v>
      </c>
      <c r="F705">
        <v>0</v>
      </c>
      <c r="G705">
        <v>2967</v>
      </c>
      <c r="H705" s="11">
        <v>45317</v>
      </c>
      <c r="I705" s="57" t="s">
        <v>100</v>
      </c>
      <c r="J705" s="57" t="s">
        <v>143</v>
      </c>
      <c r="K705" s="57" t="s">
        <v>238</v>
      </c>
      <c r="L705" t="s">
        <v>258</v>
      </c>
    </row>
    <row r="706" spans="1:12" x14ac:dyDescent="0.3">
      <c r="A706" s="57" t="s">
        <v>969</v>
      </c>
      <c r="B706" s="57" t="s">
        <v>236</v>
      </c>
      <c r="C706" s="57" t="s">
        <v>237</v>
      </c>
      <c r="D706" s="57" t="s">
        <v>144</v>
      </c>
      <c r="E706" s="57" t="s">
        <v>252</v>
      </c>
      <c r="F706">
        <v>0</v>
      </c>
      <c r="G706">
        <v>5900</v>
      </c>
      <c r="H706" s="11">
        <v>45220</v>
      </c>
      <c r="I706" s="57" t="s">
        <v>242</v>
      </c>
      <c r="J706" s="57" t="s">
        <v>147</v>
      </c>
      <c r="K706" s="57" t="s">
        <v>197</v>
      </c>
      <c r="L706" t="s">
        <v>240</v>
      </c>
    </row>
    <row r="707" spans="1:12" x14ac:dyDescent="0.3">
      <c r="A707" s="57" t="s">
        <v>970</v>
      </c>
      <c r="B707" s="57" t="s">
        <v>236</v>
      </c>
      <c r="C707" s="57" t="s">
        <v>237</v>
      </c>
      <c r="D707" s="57" t="s">
        <v>144</v>
      </c>
      <c r="E707" s="57" t="s">
        <v>256</v>
      </c>
      <c r="F707">
        <v>7</v>
      </c>
      <c r="G707">
        <v>7000</v>
      </c>
      <c r="H707" s="11">
        <v>45028</v>
      </c>
      <c r="I707" s="57" t="s">
        <v>95</v>
      </c>
      <c r="J707" s="57" t="s">
        <v>143</v>
      </c>
      <c r="K707" s="57" t="s">
        <v>197</v>
      </c>
      <c r="L707" t="s">
        <v>243</v>
      </c>
    </row>
    <row r="708" spans="1:12" x14ac:dyDescent="0.3">
      <c r="A708" s="57" t="s">
        <v>971</v>
      </c>
      <c r="B708" s="57" t="s">
        <v>268</v>
      </c>
      <c r="C708" s="57" t="s">
        <v>269</v>
      </c>
      <c r="D708" s="57" t="s">
        <v>146</v>
      </c>
      <c r="E708" s="57" t="s">
        <v>149</v>
      </c>
      <c r="F708">
        <v>6</v>
      </c>
      <c r="G708">
        <v>7000</v>
      </c>
      <c r="H708" s="11">
        <v>45614</v>
      </c>
      <c r="I708" s="57" t="s">
        <v>242</v>
      </c>
      <c r="J708" s="57" t="s">
        <v>147</v>
      </c>
      <c r="K708" s="57" t="s">
        <v>249</v>
      </c>
      <c r="L708" t="s">
        <v>243</v>
      </c>
    </row>
    <row r="709" spans="1:12" x14ac:dyDescent="0.3">
      <c r="A709" s="57" t="s">
        <v>972</v>
      </c>
      <c r="B709" s="57" t="s">
        <v>262</v>
      </c>
      <c r="C709" s="57" t="s">
        <v>263</v>
      </c>
      <c r="D709" s="57" t="s">
        <v>144</v>
      </c>
      <c r="E709" s="57" t="s">
        <v>149</v>
      </c>
      <c r="F709">
        <v>9</v>
      </c>
      <c r="G709">
        <v>7000</v>
      </c>
      <c r="H709" s="11">
        <v>45395</v>
      </c>
      <c r="I709" s="57" t="s">
        <v>92</v>
      </c>
      <c r="J709" s="57" t="s">
        <v>145</v>
      </c>
      <c r="K709" s="57" t="s">
        <v>239</v>
      </c>
      <c r="L709" t="s">
        <v>243</v>
      </c>
    </row>
    <row r="710" spans="1:12" x14ac:dyDescent="0.3">
      <c r="A710" s="57" t="s">
        <v>973</v>
      </c>
      <c r="B710" s="57" t="s">
        <v>268</v>
      </c>
      <c r="C710" s="57" t="s">
        <v>269</v>
      </c>
      <c r="D710" s="57" t="s">
        <v>141</v>
      </c>
      <c r="E710" s="57" t="s">
        <v>256</v>
      </c>
      <c r="F710">
        <v>8</v>
      </c>
      <c r="G710">
        <v>121</v>
      </c>
      <c r="H710" s="11">
        <v>45098</v>
      </c>
      <c r="I710" s="57" t="s">
        <v>266</v>
      </c>
      <c r="J710" s="57" t="s">
        <v>150</v>
      </c>
      <c r="K710" s="57" t="s">
        <v>197</v>
      </c>
      <c r="L710" t="s">
        <v>302</v>
      </c>
    </row>
    <row r="711" spans="1:12" x14ac:dyDescent="0.3">
      <c r="A711" s="57" t="s">
        <v>974</v>
      </c>
      <c r="B711" s="57" t="s">
        <v>195</v>
      </c>
      <c r="C711" s="57" t="s">
        <v>196</v>
      </c>
      <c r="D711" s="57" t="s">
        <v>238</v>
      </c>
      <c r="E711" s="57" t="s">
        <v>256</v>
      </c>
      <c r="F711">
        <v>0</v>
      </c>
      <c r="G711">
        <v>7000</v>
      </c>
      <c r="H711" s="11">
        <v>45064</v>
      </c>
      <c r="I711" s="57" t="s">
        <v>291</v>
      </c>
      <c r="J711" s="57" t="s">
        <v>145</v>
      </c>
      <c r="K711" s="57" t="s">
        <v>239</v>
      </c>
      <c r="L711" t="s">
        <v>243</v>
      </c>
    </row>
    <row r="712" spans="1:12" x14ac:dyDescent="0.3">
      <c r="A712" s="57" t="s">
        <v>975</v>
      </c>
      <c r="B712" s="57" t="s">
        <v>268</v>
      </c>
      <c r="C712" s="57" t="s">
        <v>269</v>
      </c>
      <c r="D712" s="57" t="s">
        <v>152</v>
      </c>
      <c r="E712" s="57" t="s">
        <v>256</v>
      </c>
      <c r="F712">
        <v>0</v>
      </c>
      <c r="G712">
        <v>3238</v>
      </c>
      <c r="H712" s="11">
        <v>45425</v>
      </c>
      <c r="I712" s="57" t="s">
        <v>242</v>
      </c>
      <c r="J712" s="57" t="s">
        <v>147</v>
      </c>
      <c r="K712" s="57" t="s">
        <v>238</v>
      </c>
      <c r="L712" t="s">
        <v>258</v>
      </c>
    </row>
    <row r="713" spans="1:12" x14ac:dyDescent="0.3">
      <c r="A713" s="57" t="s">
        <v>976</v>
      </c>
      <c r="B713" s="57" t="s">
        <v>273</v>
      </c>
      <c r="C713" s="57" t="s">
        <v>237</v>
      </c>
      <c r="D713" s="57" t="s">
        <v>151</v>
      </c>
      <c r="E713" s="57" t="s">
        <v>256</v>
      </c>
      <c r="F713">
        <v>4</v>
      </c>
      <c r="G713">
        <v>7000</v>
      </c>
      <c r="H713" s="11">
        <v>45072</v>
      </c>
      <c r="I713" s="57" t="s">
        <v>257</v>
      </c>
      <c r="J713" s="57" t="s">
        <v>145</v>
      </c>
      <c r="K713" s="57" t="s">
        <v>239</v>
      </c>
      <c r="L713" t="s">
        <v>243</v>
      </c>
    </row>
    <row r="714" spans="1:12" x14ac:dyDescent="0.3">
      <c r="A714" s="57" t="s">
        <v>977</v>
      </c>
      <c r="B714" s="57" t="s">
        <v>251</v>
      </c>
      <c r="C714" s="57" t="s">
        <v>237</v>
      </c>
      <c r="D714" s="57" t="s">
        <v>144</v>
      </c>
      <c r="E714" s="57" t="s">
        <v>142</v>
      </c>
      <c r="F714">
        <v>1</v>
      </c>
      <c r="G714">
        <v>5900</v>
      </c>
      <c r="H714" s="11">
        <v>45630</v>
      </c>
      <c r="I714" s="57" t="s">
        <v>266</v>
      </c>
      <c r="J714" s="57" t="s">
        <v>150</v>
      </c>
      <c r="K714" s="57" t="s">
        <v>264</v>
      </c>
      <c r="L714" t="s">
        <v>240</v>
      </c>
    </row>
    <row r="715" spans="1:12" x14ac:dyDescent="0.3">
      <c r="A715" s="57" t="s">
        <v>978</v>
      </c>
      <c r="B715" s="57" t="s">
        <v>273</v>
      </c>
      <c r="C715" s="57" t="s">
        <v>237</v>
      </c>
      <c r="D715" s="57" t="s">
        <v>238</v>
      </c>
      <c r="E715" s="57" t="s">
        <v>142</v>
      </c>
      <c r="F715">
        <v>10</v>
      </c>
      <c r="G715">
        <v>5900</v>
      </c>
      <c r="H715" s="11">
        <v>44987</v>
      </c>
      <c r="I715" s="57" t="s">
        <v>100</v>
      </c>
      <c r="J715" s="57" t="s">
        <v>150</v>
      </c>
      <c r="K715" s="57" t="s">
        <v>264</v>
      </c>
      <c r="L715" t="s">
        <v>240</v>
      </c>
    </row>
    <row r="716" spans="1:12" x14ac:dyDescent="0.3">
      <c r="A716" s="57" t="s">
        <v>979</v>
      </c>
      <c r="B716" s="57" t="s">
        <v>236</v>
      </c>
      <c r="C716" s="57" t="s">
        <v>237</v>
      </c>
      <c r="D716" s="57" t="s">
        <v>238</v>
      </c>
      <c r="E716" s="57" t="s">
        <v>142</v>
      </c>
      <c r="F716">
        <v>0</v>
      </c>
      <c r="G716">
        <v>7000</v>
      </c>
      <c r="H716" s="11">
        <v>45536</v>
      </c>
      <c r="I716" s="57" t="s">
        <v>95</v>
      </c>
      <c r="J716" s="57" t="s">
        <v>150</v>
      </c>
      <c r="K716" s="57" t="s">
        <v>197</v>
      </c>
      <c r="L716" t="s">
        <v>243</v>
      </c>
    </row>
    <row r="717" spans="1:12" x14ac:dyDescent="0.3">
      <c r="A717" s="57" t="s">
        <v>980</v>
      </c>
      <c r="B717" s="57" t="s">
        <v>255</v>
      </c>
      <c r="C717" s="57" t="s">
        <v>237</v>
      </c>
      <c r="D717" s="57" t="s">
        <v>153</v>
      </c>
      <c r="E717" s="57" t="s">
        <v>256</v>
      </c>
      <c r="F717">
        <v>7</v>
      </c>
      <c r="G717">
        <v>1181</v>
      </c>
      <c r="H717" s="11">
        <v>45111</v>
      </c>
      <c r="I717" s="57" t="s">
        <v>257</v>
      </c>
      <c r="J717" s="57" t="s">
        <v>147</v>
      </c>
      <c r="K717" s="57" t="s">
        <v>264</v>
      </c>
      <c r="L717" t="s">
        <v>258</v>
      </c>
    </row>
    <row r="718" spans="1:12" x14ac:dyDescent="0.3">
      <c r="A718" s="57" t="s">
        <v>981</v>
      </c>
      <c r="B718" s="57" t="s">
        <v>273</v>
      </c>
      <c r="C718" s="57" t="s">
        <v>237</v>
      </c>
      <c r="D718" s="57" t="s">
        <v>238</v>
      </c>
      <c r="E718" s="57" t="s">
        <v>142</v>
      </c>
      <c r="F718">
        <v>4</v>
      </c>
      <c r="G718">
        <v>7000</v>
      </c>
      <c r="H718" s="11">
        <v>45321</v>
      </c>
      <c r="I718" s="57" t="s">
        <v>92</v>
      </c>
      <c r="J718" s="57" t="s">
        <v>143</v>
      </c>
      <c r="K718" s="57" t="s">
        <v>197</v>
      </c>
      <c r="L718" t="s">
        <v>243</v>
      </c>
    </row>
    <row r="719" spans="1:12" x14ac:dyDescent="0.3">
      <c r="A719" s="57" t="s">
        <v>982</v>
      </c>
      <c r="B719" s="57" t="s">
        <v>262</v>
      </c>
      <c r="C719" s="57" t="s">
        <v>263</v>
      </c>
      <c r="D719" s="57" t="s">
        <v>148</v>
      </c>
      <c r="E719" s="57" t="s">
        <v>252</v>
      </c>
      <c r="F719">
        <v>5</v>
      </c>
      <c r="G719">
        <v>1585</v>
      </c>
      <c r="H719" s="11">
        <v>45225</v>
      </c>
      <c r="I719" s="57" t="s">
        <v>95</v>
      </c>
      <c r="J719" s="57" t="s">
        <v>143</v>
      </c>
      <c r="K719" s="57" t="s">
        <v>239</v>
      </c>
      <c r="L719" t="s">
        <v>258</v>
      </c>
    </row>
    <row r="720" spans="1:12" x14ac:dyDescent="0.3">
      <c r="A720" s="57" t="s">
        <v>983</v>
      </c>
      <c r="B720" s="57" t="s">
        <v>236</v>
      </c>
      <c r="C720" s="57" t="s">
        <v>237</v>
      </c>
      <c r="D720" s="57" t="s">
        <v>141</v>
      </c>
      <c r="E720" s="57" t="s">
        <v>260</v>
      </c>
      <c r="F720">
        <v>5</v>
      </c>
      <c r="G720">
        <v>7000</v>
      </c>
      <c r="H720" s="11">
        <v>45172</v>
      </c>
      <c r="I720" s="57" t="s">
        <v>89</v>
      </c>
      <c r="J720" s="57" t="s">
        <v>248</v>
      </c>
      <c r="K720" s="57" t="s">
        <v>264</v>
      </c>
      <c r="L720" t="s">
        <v>243</v>
      </c>
    </row>
    <row r="721" spans="1:12" x14ac:dyDescent="0.3">
      <c r="A721" s="57" t="s">
        <v>984</v>
      </c>
      <c r="B721" s="57" t="s">
        <v>247</v>
      </c>
      <c r="C721" s="57" t="s">
        <v>237</v>
      </c>
      <c r="D721" s="57" t="s">
        <v>238</v>
      </c>
      <c r="E721" s="57" t="s">
        <v>252</v>
      </c>
      <c r="F721">
        <v>10</v>
      </c>
      <c r="G721">
        <v>5900</v>
      </c>
      <c r="H721" s="11">
        <v>45184</v>
      </c>
      <c r="I721" s="57" t="s">
        <v>92</v>
      </c>
      <c r="J721" s="57" t="s">
        <v>150</v>
      </c>
      <c r="K721" s="57" t="s">
        <v>239</v>
      </c>
      <c r="L721" t="s">
        <v>240</v>
      </c>
    </row>
    <row r="722" spans="1:12" x14ac:dyDescent="0.3">
      <c r="A722" s="57" t="s">
        <v>985</v>
      </c>
      <c r="B722" s="57" t="s">
        <v>275</v>
      </c>
      <c r="C722" s="57" t="s">
        <v>276</v>
      </c>
      <c r="D722" s="57" t="s">
        <v>148</v>
      </c>
      <c r="E722" s="57" t="s">
        <v>256</v>
      </c>
      <c r="F722">
        <v>0</v>
      </c>
      <c r="G722">
        <v>3213</v>
      </c>
      <c r="H722" s="11">
        <v>45255</v>
      </c>
      <c r="I722" s="57" t="s">
        <v>95</v>
      </c>
      <c r="J722" s="57" t="s">
        <v>248</v>
      </c>
      <c r="K722" s="57" t="s">
        <v>239</v>
      </c>
      <c r="L722" t="s">
        <v>258</v>
      </c>
    </row>
    <row r="723" spans="1:12" x14ac:dyDescent="0.3">
      <c r="A723" s="57" t="s">
        <v>986</v>
      </c>
      <c r="B723" s="57" t="s">
        <v>251</v>
      </c>
      <c r="C723" s="57" t="s">
        <v>237</v>
      </c>
      <c r="D723" s="57" t="s">
        <v>148</v>
      </c>
      <c r="E723" s="57" t="s">
        <v>260</v>
      </c>
      <c r="F723">
        <v>4</v>
      </c>
      <c r="G723">
        <v>2273</v>
      </c>
      <c r="H723" s="11">
        <v>45454</v>
      </c>
      <c r="I723" s="57" t="s">
        <v>89</v>
      </c>
      <c r="J723" s="57" t="s">
        <v>143</v>
      </c>
      <c r="K723" s="57" t="s">
        <v>197</v>
      </c>
      <c r="L723" t="s">
        <v>258</v>
      </c>
    </row>
    <row r="724" spans="1:12" x14ac:dyDescent="0.3">
      <c r="A724" s="57" t="s">
        <v>987</v>
      </c>
      <c r="B724" s="57" t="s">
        <v>273</v>
      </c>
      <c r="C724" s="57" t="s">
        <v>237</v>
      </c>
      <c r="D724" s="57" t="s">
        <v>153</v>
      </c>
      <c r="E724" s="57" t="s">
        <v>256</v>
      </c>
      <c r="F724">
        <v>6</v>
      </c>
      <c r="G724">
        <v>5900</v>
      </c>
      <c r="H724" s="11">
        <v>45136</v>
      </c>
      <c r="I724" s="57" t="s">
        <v>266</v>
      </c>
      <c r="J724" s="57" t="s">
        <v>150</v>
      </c>
      <c r="K724" s="57" t="s">
        <v>249</v>
      </c>
      <c r="L724" t="s">
        <v>240</v>
      </c>
    </row>
    <row r="725" spans="1:12" x14ac:dyDescent="0.3">
      <c r="A725" s="57" t="s">
        <v>988</v>
      </c>
      <c r="B725" s="57" t="s">
        <v>251</v>
      </c>
      <c r="C725" s="57" t="s">
        <v>237</v>
      </c>
      <c r="D725" s="57" t="s">
        <v>238</v>
      </c>
      <c r="E725" s="57" t="s">
        <v>252</v>
      </c>
      <c r="F725">
        <v>0</v>
      </c>
      <c r="G725">
        <v>1994</v>
      </c>
      <c r="H725" s="11">
        <v>45324</v>
      </c>
      <c r="I725" s="57" t="s">
        <v>92</v>
      </c>
      <c r="J725" s="57" t="s">
        <v>150</v>
      </c>
      <c r="K725" s="57" t="s">
        <v>197</v>
      </c>
      <c r="L725" t="s">
        <v>258</v>
      </c>
    </row>
    <row r="726" spans="1:12" x14ac:dyDescent="0.3">
      <c r="A726" s="57" t="s">
        <v>989</v>
      </c>
      <c r="B726" s="57" t="s">
        <v>236</v>
      </c>
      <c r="C726" s="57" t="s">
        <v>237</v>
      </c>
      <c r="D726" s="57" t="s">
        <v>141</v>
      </c>
      <c r="E726" s="57" t="s">
        <v>142</v>
      </c>
      <c r="F726">
        <v>0</v>
      </c>
      <c r="G726">
        <v>7000</v>
      </c>
      <c r="H726" s="11">
        <v>45184</v>
      </c>
      <c r="I726" s="57" t="s">
        <v>257</v>
      </c>
      <c r="J726" s="57" t="s">
        <v>147</v>
      </c>
      <c r="K726" s="57" t="s">
        <v>253</v>
      </c>
      <c r="L726" t="s">
        <v>243</v>
      </c>
    </row>
    <row r="727" spans="1:12" x14ac:dyDescent="0.3">
      <c r="A727" s="57" t="s">
        <v>990</v>
      </c>
      <c r="B727" s="57" t="s">
        <v>195</v>
      </c>
      <c r="C727" s="57" t="s">
        <v>196</v>
      </c>
      <c r="D727" s="57" t="s">
        <v>238</v>
      </c>
      <c r="E727" s="57" t="s">
        <v>149</v>
      </c>
      <c r="F727">
        <v>6</v>
      </c>
      <c r="G727">
        <v>5900</v>
      </c>
      <c r="H727" s="11">
        <v>45273</v>
      </c>
      <c r="I727" s="57" t="s">
        <v>266</v>
      </c>
      <c r="J727" s="57" t="s">
        <v>143</v>
      </c>
      <c r="K727" s="57" t="s">
        <v>239</v>
      </c>
      <c r="L727" t="s">
        <v>240</v>
      </c>
    </row>
    <row r="728" spans="1:12" x14ac:dyDescent="0.3">
      <c r="A728" s="57" t="s">
        <v>991</v>
      </c>
      <c r="B728" s="57" t="s">
        <v>236</v>
      </c>
      <c r="C728" s="57" t="s">
        <v>237</v>
      </c>
      <c r="D728" s="57" t="s">
        <v>151</v>
      </c>
      <c r="E728" s="57" t="s">
        <v>256</v>
      </c>
      <c r="F728">
        <v>10</v>
      </c>
      <c r="G728">
        <v>7000</v>
      </c>
      <c r="H728" s="11">
        <v>44951</v>
      </c>
      <c r="I728" s="57" t="s">
        <v>257</v>
      </c>
      <c r="J728" s="57" t="s">
        <v>147</v>
      </c>
      <c r="K728" s="57" t="s">
        <v>239</v>
      </c>
      <c r="L728" t="s">
        <v>243</v>
      </c>
    </row>
    <row r="729" spans="1:12" x14ac:dyDescent="0.3">
      <c r="A729" s="57" t="s">
        <v>992</v>
      </c>
      <c r="B729" s="57" t="s">
        <v>245</v>
      </c>
      <c r="C729" s="57" t="s">
        <v>237</v>
      </c>
      <c r="D729" s="57" t="s">
        <v>151</v>
      </c>
      <c r="E729" s="57" t="s">
        <v>252</v>
      </c>
      <c r="F729">
        <v>7</v>
      </c>
      <c r="G729">
        <v>7000</v>
      </c>
      <c r="H729" s="11">
        <v>45442</v>
      </c>
      <c r="I729" s="57" t="s">
        <v>100</v>
      </c>
      <c r="J729" s="57" t="s">
        <v>147</v>
      </c>
      <c r="K729" s="57" t="s">
        <v>197</v>
      </c>
      <c r="L729" t="s">
        <v>243</v>
      </c>
    </row>
    <row r="730" spans="1:12" x14ac:dyDescent="0.3">
      <c r="A730" s="57" t="s">
        <v>993</v>
      </c>
      <c r="B730" s="57" t="s">
        <v>247</v>
      </c>
      <c r="C730" s="57" t="s">
        <v>237</v>
      </c>
      <c r="D730" s="57" t="s">
        <v>152</v>
      </c>
      <c r="E730" s="57" t="s">
        <v>252</v>
      </c>
      <c r="F730">
        <v>7</v>
      </c>
      <c r="G730">
        <v>5900</v>
      </c>
      <c r="H730" s="11">
        <v>45332</v>
      </c>
      <c r="I730" s="57" t="s">
        <v>100</v>
      </c>
      <c r="J730" s="57" t="s">
        <v>248</v>
      </c>
      <c r="K730" s="57" t="s">
        <v>238</v>
      </c>
      <c r="L730" t="s">
        <v>240</v>
      </c>
    </row>
    <row r="731" spans="1:12" x14ac:dyDescent="0.3">
      <c r="A731" s="57" t="s">
        <v>994</v>
      </c>
      <c r="B731" s="57" t="s">
        <v>251</v>
      </c>
      <c r="C731" s="57" t="s">
        <v>237</v>
      </c>
      <c r="D731" s="57" t="s">
        <v>238</v>
      </c>
      <c r="E731" s="57" t="s">
        <v>142</v>
      </c>
      <c r="F731">
        <v>7</v>
      </c>
      <c r="G731">
        <v>7000</v>
      </c>
      <c r="H731" s="11">
        <v>45538</v>
      </c>
      <c r="I731" s="57" t="s">
        <v>89</v>
      </c>
      <c r="J731" s="57" t="s">
        <v>150</v>
      </c>
      <c r="K731" s="57" t="s">
        <v>249</v>
      </c>
      <c r="L731" t="s">
        <v>243</v>
      </c>
    </row>
    <row r="732" spans="1:12" x14ac:dyDescent="0.3">
      <c r="A732" s="57" t="s">
        <v>995</v>
      </c>
      <c r="B732" s="57" t="s">
        <v>275</v>
      </c>
      <c r="C732" s="57" t="s">
        <v>276</v>
      </c>
      <c r="D732" s="57" t="s">
        <v>153</v>
      </c>
      <c r="E732" s="57" t="s">
        <v>252</v>
      </c>
      <c r="F732">
        <v>10</v>
      </c>
      <c r="G732">
        <v>7000</v>
      </c>
      <c r="H732" s="11">
        <v>45566</v>
      </c>
      <c r="I732" s="57" t="s">
        <v>89</v>
      </c>
      <c r="J732" s="57" t="s">
        <v>143</v>
      </c>
      <c r="K732" s="57" t="s">
        <v>238</v>
      </c>
      <c r="L732" t="s">
        <v>243</v>
      </c>
    </row>
    <row r="733" spans="1:12" x14ac:dyDescent="0.3">
      <c r="A733" s="57" t="s">
        <v>996</v>
      </c>
      <c r="B733" s="57" t="s">
        <v>262</v>
      </c>
      <c r="C733" s="57" t="s">
        <v>263</v>
      </c>
      <c r="D733" s="57" t="s">
        <v>153</v>
      </c>
      <c r="E733" s="57" t="s">
        <v>142</v>
      </c>
      <c r="F733">
        <v>0</v>
      </c>
      <c r="G733">
        <v>7000</v>
      </c>
      <c r="H733" s="11">
        <v>45193</v>
      </c>
      <c r="I733" s="57" t="s">
        <v>242</v>
      </c>
      <c r="J733" s="57" t="s">
        <v>147</v>
      </c>
      <c r="K733" s="57" t="s">
        <v>239</v>
      </c>
      <c r="L733" t="s">
        <v>243</v>
      </c>
    </row>
    <row r="734" spans="1:12" x14ac:dyDescent="0.3">
      <c r="A734" s="57" t="s">
        <v>997</v>
      </c>
      <c r="B734" s="57" t="s">
        <v>247</v>
      </c>
      <c r="C734" s="57" t="s">
        <v>237</v>
      </c>
      <c r="D734" s="57" t="s">
        <v>152</v>
      </c>
      <c r="E734" s="57" t="s">
        <v>142</v>
      </c>
      <c r="F734">
        <v>4</v>
      </c>
      <c r="G734">
        <v>676</v>
      </c>
      <c r="H734" s="11">
        <v>45122</v>
      </c>
      <c r="I734" s="57" t="s">
        <v>266</v>
      </c>
      <c r="J734" s="57" t="s">
        <v>143</v>
      </c>
      <c r="K734" s="57" t="s">
        <v>238</v>
      </c>
      <c r="L734" t="s">
        <v>302</v>
      </c>
    </row>
    <row r="735" spans="1:12" x14ac:dyDescent="0.3">
      <c r="A735" s="57" t="s">
        <v>998</v>
      </c>
      <c r="B735" s="57" t="s">
        <v>255</v>
      </c>
      <c r="C735" s="57" t="s">
        <v>237</v>
      </c>
      <c r="D735" s="57" t="s">
        <v>238</v>
      </c>
      <c r="E735" s="57" t="s">
        <v>260</v>
      </c>
      <c r="F735">
        <v>10</v>
      </c>
      <c r="G735">
        <v>7000</v>
      </c>
      <c r="H735" s="11">
        <v>45596</v>
      </c>
      <c r="I735" s="57" t="s">
        <v>266</v>
      </c>
      <c r="J735" s="57" t="s">
        <v>143</v>
      </c>
      <c r="K735" s="57" t="s">
        <v>253</v>
      </c>
      <c r="L735" t="s">
        <v>243</v>
      </c>
    </row>
    <row r="736" spans="1:12" x14ac:dyDescent="0.3">
      <c r="A736" s="57" t="s">
        <v>999</v>
      </c>
      <c r="B736" s="57" t="s">
        <v>262</v>
      </c>
      <c r="C736" s="57" t="s">
        <v>263</v>
      </c>
      <c r="D736" s="57" t="s">
        <v>238</v>
      </c>
      <c r="E736" s="57" t="s">
        <v>142</v>
      </c>
      <c r="F736">
        <v>9</v>
      </c>
      <c r="G736">
        <v>7000</v>
      </c>
      <c r="H736" s="11">
        <v>45095</v>
      </c>
      <c r="I736" s="57" t="s">
        <v>100</v>
      </c>
      <c r="J736" s="57" t="s">
        <v>150</v>
      </c>
      <c r="K736" s="57" t="s">
        <v>238</v>
      </c>
      <c r="L736" t="s">
        <v>243</v>
      </c>
    </row>
    <row r="737" spans="1:12" x14ac:dyDescent="0.3">
      <c r="A737" s="57" t="s">
        <v>1000</v>
      </c>
      <c r="B737" s="57" t="s">
        <v>251</v>
      </c>
      <c r="C737" s="57" t="s">
        <v>237</v>
      </c>
      <c r="D737" s="57" t="s">
        <v>141</v>
      </c>
      <c r="E737" s="57" t="s">
        <v>260</v>
      </c>
      <c r="F737">
        <v>5</v>
      </c>
      <c r="G737">
        <v>3264</v>
      </c>
      <c r="H737" s="11">
        <v>45295</v>
      </c>
      <c r="I737" s="57" t="s">
        <v>257</v>
      </c>
      <c r="J737" s="57" t="s">
        <v>143</v>
      </c>
      <c r="K737" s="57" t="s">
        <v>264</v>
      </c>
      <c r="L737" t="s">
        <v>258</v>
      </c>
    </row>
    <row r="738" spans="1:12" x14ac:dyDescent="0.3">
      <c r="A738" s="57" t="s">
        <v>1001</v>
      </c>
      <c r="B738" s="57" t="s">
        <v>236</v>
      </c>
      <c r="C738" s="57" t="s">
        <v>237</v>
      </c>
      <c r="D738" s="57" t="s">
        <v>238</v>
      </c>
      <c r="E738" s="57" t="s">
        <v>252</v>
      </c>
      <c r="F738">
        <v>0</v>
      </c>
      <c r="G738">
        <v>4484</v>
      </c>
      <c r="H738" s="11">
        <v>44942</v>
      </c>
      <c r="I738" s="57" t="s">
        <v>89</v>
      </c>
      <c r="J738" s="57" t="s">
        <v>150</v>
      </c>
      <c r="K738" s="57" t="s">
        <v>249</v>
      </c>
      <c r="L738" t="s">
        <v>240</v>
      </c>
    </row>
    <row r="739" spans="1:12" x14ac:dyDescent="0.3">
      <c r="A739" s="57" t="s">
        <v>1002</v>
      </c>
      <c r="B739" s="57" t="s">
        <v>275</v>
      </c>
      <c r="C739" s="57" t="s">
        <v>276</v>
      </c>
      <c r="D739" s="57" t="s">
        <v>144</v>
      </c>
      <c r="E739" s="57" t="s">
        <v>142</v>
      </c>
      <c r="F739">
        <v>5</v>
      </c>
      <c r="G739">
        <v>7000</v>
      </c>
      <c r="H739" s="11">
        <v>45027</v>
      </c>
      <c r="I739" s="57" t="s">
        <v>95</v>
      </c>
      <c r="J739" s="57" t="s">
        <v>143</v>
      </c>
      <c r="K739" s="57" t="s">
        <v>238</v>
      </c>
      <c r="L739" t="s">
        <v>243</v>
      </c>
    </row>
    <row r="740" spans="1:12" x14ac:dyDescent="0.3">
      <c r="A740" s="57" t="s">
        <v>1003</v>
      </c>
      <c r="B740" s="57" t="s">
        <v>236</v>
      </c>
      <c r="C740" s="57" t="s">
        <v>237</v>
      </c>
      <c r="D740" s="57" t="s">
        <v>238</v>
      </c>
      <c r="E740" s="57" t="s">
        <v>149</v>
      </c>
      <c r="F740">
        <v>0</v>
      </c>
      <c r="G740">
        <v>4939</v>
      </c>
      <c r="H740" s="11">
        <v>45423</v>
      </c>
      <c r="I740" s="57" t="s">
        <v>257</v>
      </c>
      <c r="J740" s="57" t="s">
        <v>147</v>
      </c>
      <c r="K740" s="57" t="s">
        <v>239</v>
      </c>
      <c r="L740" t="s">
        <v>240</v>
      </c>
    </row>
    <row r="741" spans="1:12" x14ac:dyDescent="0.3">
      <c r="A741" s="57" t="s">
        <v>1004</v>
      </c>
      <c r="B741" s="57" t="s">
        <v>273</v>
      </c>
      <c r="C741" s="57" t="s">
        <v>237</v>
      </c>
      <c r="D741" s="57" t="s">
        <v>152</v>
      </c>
      <c r="E741" s="57" t="s">
        <v>252</v>
      </c>
      <c r="F741">
        <v>10</v>
      </c>
      <c r="G741">
        <v>7000</v>
      </c>
      <c r="H741" s="11">
        <v>44969</v>
      </c>
      <c r="I741" s="57" t="s">
        <v>92</v>
      </c>
      <c r="J741" s="57" t="s">
        <v>145</v>
      </c>
      <c r="K741" s="57" t="s">
        <v>238</v>
      </c>
      <c r="L741" t="s">
        <v>243</v>
      </c>
    </row>
    <row r="742" spans="1:12" x14ac:dyDescent="0.3">
      <c r="A742" s="57" t="s">
        <v>1005</v>
      </c>
      <c r="B742" s="57" t="s">
        <v>273</v>
      </c>
      <c r="C742" s="57" t="s">
        <v>237</v>
      </c>
      <c r="D742" s="57" t="s">
        <v>151</v>
      </c>
      <c r="E742" s="57" t="s">
        <v>252</v>
      </c>
      <c r="F742">
        <v>5</v>
      </c>
      <c r="G742">
        <v>7000</v>
      </c>
      <c r="H742" s="11">
        <v>45377</v>
      </c>
      <c r="I742" s="57" t="s">
        <v>89</v>
      </c>
      <c r="J742" s="57" t="s">
        <v>150</v>
      </c>
      <c r="K742" s="57" t="s">
        <v>238</v>
      </c>
      <c r="L742" t="s">
        <v>243</v>
      </c>
    </row>
    <row r="743" spans="1:12" x14ac:dyDescent="0.3">
      <c r="A743" s="57" t="s">
        <v>1006</v>
      </c>
      <c r="B743" s="57" t="s">
        <v>195</v>
      </c>
      <c r="C743" s="57" t="s">
        <v>196</v>
      </c>
      <c r="D743" s="57" t="s">
        <v>146</v>
      </c>
      <c r="E743" s="57" t="s">
        <v>252</v>
      </c>
      <c r="F743">
        <v>7</v>
      </c>
      <c r="G743">
        <v>7000</v>
      </c>
      <c r="H743" s="11">
        <v>45197</v>
      </c>
      <c r="I743" s="57" t="s">
        <v>89</v>
      </c>
      <c r="J743" s="57" t="s">
        <v>145</v>
      </c>
      <c r="K743" s="57" t="s">
        <v>253</v>
      </c>
      <c r="L743" t="s">
        <v>243</v>
      </c>
    </row>
    <row r="744" spans="1:12" x14ac:dyDescent="0.3">
      <c r="A744" s="57" t="s">
        <v>1007</v>
      </c>
      <c r="B744" s="57" t="s">
        <v>275</v>
      </c>
      <c r="C744" s="57" t="s">
        <v>276</v>
      </c>
      <c r="D744" s="57" t="s">
        <v>238</v>
      </c>
      <c r="E744" s="57" t="s">
        <v>142</v>
      </c>
      <c r="F744">
        <v>7</v>
      </c>
      <c r="G744">
        <v>5900</v>
      </c>
      <c r="H744" s="11">
        <v>45474</v>
      </c>
      <c r="I744" s="57" t="s">
        <v>242</v>
      </c>
      <c r="J744" s="57" t="s">
        <v>150</v>
      </c>
      <c r="K744" s="57" t="s">
        <v>197</v>
      </c>
      <c r="L744" t="s">
        <v>240</v>
      </c>
    </row>
    <row r="745" spans="1:12" x14ac:dyDescent="0.3">
      <c r="A745" s="57" t="s">
        <v>1008</v>
      </c>
      <c r="B745" s="57" t="s">
        <v>195</v>
      </c>
      <c r="C745" s="57" t="s">
        <v>196</v>
      </c>
      <c r="D745" s="57" t="s">
        <v>238</v>
      </c>
      <c r="E745" s="57" t="s">
        <v>256</v>
      </c>
      <c r="F745">
        <v>6</v>
      </c>
      <c r="G745">
        <v>5900</v>
      </c>
      <c r="H745" s="11">
        <v>45294</v>
      </c>
      <c r="I745" s="57" t="s">
        <v>89</v>
      </c>
      <c r="J745" s="57" t="s">
        <v>145</v>
      </c>
      <c r="K745" s="57" t="s">
        <v>264</v>
      </c>
      <c r="L745" t="s">
        <v>240</v>
      </c>
    </row>
    <row r="746" spans="1:12" x14ac:dyDescent="0.3">
      <c r="A746" s="57" t="s">
        <v>1009</v>
      </c>
      <c r="B746" s="57" t="s">
        <v>195</v>
      </c>
      <c r="C746" s="57" t="s">
        <v>196</v>
      </c>
      <c r="D746" s="57" t="s">
        <v>148</v>
      </c>
      <c r="E746" s="57" t="s">
        <v>260</v>
      </c>
      <c r="F746">
        <v>10</v>
      </c>
      <c r="G746">
        <v>7000</v>
      </c>
      <c r="H746" s="11">
        <v>45613</v>
      </c>
      <c r="I746" s="57" t="s">
        <v>95</v>
      </c>
      <c r="J746" s="57" t="s">
        <v>150</v>
      </c>
      <c r="K746" s="57" t="s">
        <v>238</v>
      </c>
      <c r="L746" t="s">
        <v>243</v>
      </c>
    </row>
    <row r="747" spans="1:12" x14ac:dyDescent="0.3">
      <c r="A747" s="57" t="s">
        <v>1010</v>
      </c>
      <c r="B747" s="57" t="s">
        <v>251</v>
      </c>
      <c r="C747" s="57" t="s">
        <v>237</v>
      </c>
      <c r="D747" s="57" t="s">
        <v>141</v>
      </c>
      <c r="E747" s="57" t="s">
        <v>252</v>
      </c>
      <c r="F747">
        <v>7</v>
      </c>
      <c r="G747">
        <v>443</v>
      </c>
      <c r="H747" s="11">
        <v>45618</v>
      </c>
      <c r="I747" s="57" t="s">
        <v>257</v>
      </c>
      <c r="J747" s="57" t="s">
        <v>145</v>
      </c>
      <c r="K747" s="57" t="s">
        <v>238</v>
      </c>
      <c r="L747" t="s">
        <v>302</v>
      </c>
    </row>
    <row r="748" spans="1:12" x14ac:dyDescent="0.3">
      <c r="A748" s="57" t="s">
        <v>1011</v>
      </c>
      <c r="B748" s="57" t="s">
        <v>245</v>
      </c>
      <c r="C748" s="57" t="s">
        <v>237</v>
      </c>
      <c r="D748" s="57" t="s">
        <v>141</v>
      </c>
      <c r="E748" s="57" t="s">
        <v>256</v>
      </c>
      <c r="F748">
        <v>7</v>
      </c>
      <c r="G748">
        <v>5900</v>
      </c>
      <c r="H748" s="11">
        <v>45538</v>
      </c>
      <c r="I748" s="57" t="s">
        <v>95</v>
      </c>
      <c r="J748" s="57" t="s">
        <v>150</v>
      </c>
      <c r="K748" s="57" t="s">
        <v>197</v>
      </c>
      <c r="L748" t="s">
        <v>240</v>
      </c>
    </row>
    <row r="749" spans="1:12" x14ac:dyDescent="0.3">
      <c r="A749" s="57" t="s">
        <v>1012</v>
      </c>
      <c r="B749" s="57" t="s">
        <v>262</v>
      </c>
      <c r="C749" s="57" t="s">
        <v>263</v>
      </c>
      <c r="D749" s="57" t="s">
        <v>238</v>
      </c>
      <c r="E749" s="57" t="s">
        <v>252</v>
      </c>
      <c r="F749">
        <v>5</v>
      </c>
      <c r="G749">
        <v>1649</v>
      </c>
      <c r="H749" s="11">
        <v>45392</v>
      </c>
      <c r="I749" s="57" t="s">
        <v>100</v>
      </c>
      <c r="J749" s="57" t="s">
        <v>143</v>
      </c>
      <c r="K749" s="57" t="s">
        <v>238</v>
      </c>
      <c r="L749" t="s">
        <v>258</v>
      </c>
    </row>
    <row r="750" spans="1:12" x14ac:dyDescent="0.3">
      <c r="A750" s="57" t="s">
        <v>1013</v>
      </c>
      <c r="B750" s="57" t="s">
        <v>251</v>
      </c>
      <c r="C750" s="57" t="s">
        <v>237</v>
      </c>
      <c r="D750" s="57" t="s">
        <v>148</v>
      </c>
      <c r="E750" s="57" t="s">
        <v>256</v>
      </c>
      <c r="F750">
        <v>10</v>
      </c>
      <c r="G750">
        <v>2788</v>
      </c>
      <c r="H750" s="11">
        <v>45392</v>
      </c>
      <c r="I750" s="57" t="s">
        <v>95</v>
      </c>
      <c r="J750" s="57" t="s">
        <v>145</v>
      </c>
      <c r="K750" s="57" t="s">
        <v>264</v>
      </c>
      <c r="L750" t="s">
        <v>258</v>
      </c>
    </row>
    <row r="751" spans="1:12" x14ac:dyDescent="0.3">
      <c r="A751" s="57" t="s">
        <v>1014</v>
      </c>
      <c r="B751" s="57" t="s">
        <v>262</v>
      </c>
      <c r="C751" s="57" t="s">
        <v>263</v>
      </c>
      <c r="D751" s="57" t="s">
        <v>238</v>
      </c>
      <c r="E751" s="57" t="s">
        <v>149</v>
      </c>
      <c r="F751">
        <v>3</v>
      </c>
      <c r="G751">
        <v>397</v>
      </c>
      <c r="H751" s="11">
        <v>45366</v>
      </c>
      <c r="I751" s="57" t="s">
        <v>242</v>
      </c>
      <c r="J751" s="57" t="s">
        <v>145</v>
      </c>
      <c r="K751" s="57" t="s">
        <v>249</v>
      </c>
      <c r="L751" t="s">
        <v>302</v>
      </c>
    </row>
    <row r="752" spans="1:12" x14ac:dyDescent="0.3">
      <c r="A752" s="57" t="s">
        <v>1015</v>
      </c>
      <c r="B752" s="57" t="s">
        <v>255</v>
      </c>
      <c r="C752" s="57" t="s">
        <v>237</v>
      </c>
      <c r="D752" s="57" t="s">
        <v>238</v>
      </c>
      <c r="E752" s="57" t="s">
        <v>149</v>
      </c>
      <c r="F752">
        <v>1</v>
      </c>
      <c r="G752">
        <v>674</v>
      </c>
      <c r="H752" s="11">
        <v>45222</v>
      </c>
      <c r="I752" s="57" t="s">
        <v>266</v>
      </c>
      <c r="J752" s="57" t="s">
        <v>145</v>
      </c>
      <c r="K752" s="57" t="s">
        <v>253</v>
      </c>
      <c r="L752" t="s">
        <v>302</v>
      </c>
    </row>
    <row r="753" spans="1:12" x14ac:dyDescent="0.3">
      <c r="A753" s="57" t="s">
        <v>1016</v>
      </c>
      <c r="B753" s="57" t="s">
        <v>268</v>
      </c>
      <c r="C753" s="57" t="s">
        <v>269</v>
      </c>
      <c r="D753" s="57" t="s">
        <v>141</v>
      </c>
      <c r="E753" s="57" t="s">
        <v>149</v>
      </c>
      <c r="F753">
        <v>5</v>
      </c>
      <c r="G753">
        <v>1041</v>
      </c>
      <c r="H753" s="11">
        <v>45348</v>
      </c>
      <c r="I753" s="57" t="s">
        <v>92</v>
      </c>
      <c r="J753" s="57" t="s">
        <v>150</v>
      </c>
      <c r="K753" s="57" t="s">
        <v>238</v>
      </c>
      <c r="L753" t="s">
        <v>258</v>
      </c>
    </row>
    <row r="754" spans="1:12" x14ac:dyDescent="0.3">
      <c r="A754" s="57" t="s">
        <v>1017</v>
      </c>
      <c r="B754" s="57" t="s">
        <v>236</v>
      </c>
      <c r="C754" s="57" t="s">
        <v>237</v>
      </c>
      <c r="D754" s="57" t="s">
        <v>144</v>
      </c>
      <c r="E754" s="57" t="s">
        <v>149</v>
      </c>
      <c r="F754">
        <v>5</v>
      </c>
      <c r="G754">
        <v>5900</v>
      </c>
      <c r="H754" s="11">
        <v>45266</v>
      </c>
      <c r="I754" s="57" t="s">
        <v>242</v>
      </c>
      <c r="J754" s="57" t="s">
        <v>150</v>
      </c>
      <c r="K754" s="57" t="s">
        <v>197</v>
      </c>
      <c r="L754" t="s">
        <v>240</v>
      </c>
    </row>
    <row r="755" spans="1:12" x14ac:dyDescent="0.3">
      <c r="A755" s="57" t="s">
        <v>1018</v>
      </c>
      <c r="B755" s="57" t="s">
        <v>247</v>
      </c>
      <c r="C755" s="57" t="s">
        <v>237</v>
      </c>
      <c r="D755" s="57" t="s">
        <v>152</v>
      </c>
      <c r="E755" s="57" t="s">
        <v>142</v>
      </c>
      <c r="F755">
        <v>3</v>
      </c>
      <c r="G755">
        <v>7000</v>
      </c>
      <c r="H755" s="11">
        <v>45306</v>
      </c>
      <c r="I755" s="57" t="s">
        <v>100</v>
      </c>
      <c r="J755" s="57" t="s">
        <v>147</v>
      </c>
      <c r="K755" s="57" t="s">
        <v>239</v>
      </c>
      <c r="L755" t="s">
        <v>243</v>
      </c>
    </row>
    <row r="756" spans="1:12" x14ac:dyDescent="0.3">
      <c r="A756" s="57" t="s">
        <v>1019</v>
      </c>
      <c r="B756" s="57" t="s">
        <v>268</v>
      </c>
      <c r="C756" s="57" t="s">
        <v>269</v>
      </c>
      <c r="D756" s="57" t="s">
        <v>238</v>
      </c>
      <c r="E756" s="57" t="s">
        <v>252</v>
      </c>
      <c r="F756">
        <v>10</v>
      </c>
      <c r="G756">
        <v>2165</v>
      </c>
      <c r="H756" s="11">
        <v>45506</v>
      </c>
      <c r="I756" s="57" t="s">
        <v>242</v>
      </c>
      <c r="J756" s="57" t="s">
        <v>147</v>
      </c>
      <c r="K756" s="57" t="s">
        <v>238</v>
      </c>
      <c r="L756" t="s">
        <v>258</v>
      </c>
    </row>
    <row r="757" spans="1:12" x14ac:dyDescent="0.3">
      <c r="A757" s="57" t="s">
        <v>1020</v>
      </c>
      <c r="B757" s="57" t="s">
        <v>251</v>
      </c>
      <c r="C757" s="57" t="s">
        <v>237</v>
      </c>
      <c r="D757" s="57" t="s">
        <v>152</v>
      </c>
      <c r="E757" s="57" t="s">
        <v>256</v>
      </c>
      <c r="F757">
        <v>0</v>
      </c>
      <c r="G757">
        <v>7000</v>
      </c>
      <c r="H757" s="11">
        <v>45000</v>
      </c>
      <c r="I757" s="57" t="s">
        <v>100</v>
      </c>
      <c r="J757" s="57" t="s">
        <v>147</v>
      </c>
      <c r="K757" s="57" t="s">
        <v>197</v>
      </c>
      <c r="L757" t="s">
        <v>243</v>
      </c>
    </row>
    <row r="758" spans="1:12" x14ac:dyDescent="0.3">
      <c r="A758" s="57" t="s">
        <v>1021</v>
      </c>
      <c r="B758" s="57" t="s">
        <v>275</v>
      </c>
      <c r="C758" s="57" t="s">
        <v>276</v>
      </c>
      <c r="D758" s="57" t="s">
        <v>238</v>
      </c>
      <c r="E758" s="57" t="s">
        <v>252</v>
      </c>
      <c r="F758">
        <v>7</v>
      </c>
      <c r="G758">
        <v>4438</v>
      </c>
      <c r="H758" s="11">
        <v>45207</v>
      </c>
      <c r="I758" s="57" t="s">
        <v>100</v>
      </c>
      <c r="J758" s="57" t="s">
        <v>248</v>
      </c>
      <c r="K758" s="57" t="s">
        <v>239</v>
      </c>
      <c r="L758" t="s">
        <v>240</v>
      </c>
    </row>
    <row r="759" spans="1:12" x14ac:dyDescent="0.3">
      <c r="A759" s="57" t="s">
        <v>1022</v>
      </c>
      <c r="B759" s="57" t="s">
        <v>247</v>
      </c>
      <c r="C759" s="57" t="s">
        <v>237</v>
      </c>
      <c r="D759" s="57" t="s">
        <v>238</v>
      </c>
      <c r="E759" s="57" t="s">
        <v>256</v>
      </c>
      <c r="F759">
        <v>5</v>
      </c>
      <c r="G759">
        <v>7000</v>
      </c>
      <c r="H759" s="11">
        <v>45541</v>
      </c>
      <c r="I759" s="57" t="s">
        <v>257</v>
      </c>
      <c r="J759" s="57" t="s">
        <v>248</v>
      </c>
      <c r="K759" s="57" t="s">
        <v>239</v>
      </c>
      <c r="L759" t="s">
        <v>243</v>
      </c>
    </row>
    <row r="760" spans="1:12" x14ac:dyDescent="0.3">
      <c r="A760" s="57" t="s">
        <v>1023</v>
      </c>
      <c r="B760" s="57" t="s">
        <v>275</v>
      </c>
      <c r="C760" s="57" t="s">
        <v>276</v>
      </c>
      <c r="D760" s="57" t="s">
        <v>238</v>
      </c>
      <c r="E760" s="57" t="s">
        <v>149</v>
      </c>
      <c r="F760">
        <v>5</v>
      </c>
      <c r="G760">
        <v>7000</v>
      </c>
      <c r="H760" s="11">
        <v>45025</v>
      </c>
      <c r="I760" s="57" t="s">
        <v>291</v>
      </c>
      <c r="J760" s="57" t="s">
        <v>143</v>
      </c>
      <c r="K760" s="57" t="s">
        <v>253</v>
      </c>
      <c r="L760" t="s">
        <v>243</v>
      </c>
    </row>
    <row r="761" spans="1:12" x14ac:dyDescent="0.3">
      <c r="A761" s="57" t="s">
        <v>1024</v>
      </c>
      <c r="B761" s="57" t="s">
        <v>273</v>
      </c>
      <c r="C761" s="57" t="s">
        <v>237</v>
      </c>
      <c r="D761" s="57" t="s">
        <v>238</v>
      </c>
      <c r="E761" s="57" t="s">
        <v>149</v>
      </c>
      <c r="F761">
        <v>7</v>
      </c>
      <c r="G761">
        <v>5900</v>
      </c>
      <c r="H761" s="11">
        <v>45017</v>
      </c>
      <c r="I761" s="57" t="s">
        <v>89</v>
      </c>
      <c r="J761" s="57" t="s">
        <v>248</v>
      </c>
      <c r="K761" s="57" t="s">
        <v>238</v>
      </c>
      <c r="L761" t="s">
        <v>240</v>
      </c>
    </row>
    <row r="762" spans="1:12" x14ac:dyDescent="0.3">
      <c r="A762" s="57" t="s">
        <v>1025</v>
      </c>
      <c r="B762" s="57" t="s">
        <v>245</v>
      </c>
      <c r="C762" s="57" t="s">
        <v>237</v>
      </c>
      <c r="D762" s="57" t="s">
        <v>144</v>
      </c>
      <c r="E762" s="57" t="s">
        <v>149</v>
      </c>
      <c r="F762">
        <v>7</v>
      </c>
      <c r="G762">
        <v>5900</v>
      </c>
      <c r="H762" s="11">
        <v>45090</v>
      </c>
      <c r="I762" s="57" t="s">
        <v>266</v>
      </c>
      <c r="J762" s="57" t="s">
        <v>150</v>
      </c>
      <c r="K762" s="57" t="s">
        <v>253</v>
      </c>
      <c r="L762" t="s">
        <v>240</v>
      </c>
    </row>
    <row r="763" spans="1:12" x14ac:dyDescent="0.3">
      <c r="A763" s="57" t="s">
        <v>1026</v>
      </c>
      <c r="B763" s="57" t="s">
        <v>268</v>
      </c>
      <c r="C763" s="57" t="s">
        <v>269</v>
      </c>
      <c r="D763" s="57" t="s">
        <v>146</v>
      </c>
      <c r="E763" s="57" t="s">
        <v>142</v>
      </c>
      <c r="F763">
        <v>0</v>
      </c>
      <c r="G763">
        <v>7000</v>
      </c>
      <c r="H763" s="11">
        <v>45245</v>
      </c>
      <c r="I763" s="57" t="s">
        <v>100</v>
      </c>
      <c r="J763" s="57" t="s">
        <v>145</v>
      </c>
      <c r="K763" s="57" t="s">
        <v>249</v>
      </c>
      <c r="L763" t="s">
        <v>243</v>
      </c>
    </row>
    <row r="764" spans="1:12" x14ac:dyDescent="0.3">
      <c r="A764" s="57" t="s">
        <v>1027</v>
      </c>
      <c r="B764" s="57" t="s">
        <v>247</v>
      </c>
      <c r="C764" s="57" t="s">
        <v>237</v>
      </c>
      <c r="D764" s="57" t="s">
        <v>238</v>
      </c>
      <c r="E764" s="57" t="s">
        <v>149</v>
      </c>
      <c r="F764">
        <v>5</v>
      </c>
      <c r="G764">
        <v>3436</v>
      </c>
      <c r="H764" s="11">
        <v>44990</v>
      </c>
      <c r="I764" s="57" t="s">
        <v>257</v>
      </c>
      <c r="J764" s="57" t="s">
        <v>147</v>
      </c>
      <c r="K764" s="57" t="s">
        <v>239</v>
      </c>
      <c r="L764" t="s">
        <v>258</v>
      </c>
    </row>
    <row r="765" spans="1:12" x14ac:dyDescent="0.3">
      <c r="A765" s="57" t="s">
        <v>1028</v>
      </c>
      <c r="B765" s="57" t="s">
        <v>268</v>
      </c>
      <c r="C765" s="57" t="s">
        <v>269</v>
      </c>
      <c r="D765" s="57" t="s">
        <v>151</v>
      </c>
      <c r="E765" s="57" t="s">
        <v>252</v>
      </c>
      <c r="F765">
        <v>2</v>
      </c>
      <c r="G765">
        <v>207</v>
      </c>
      <c r="H765" s="11">
        <v>44987</v>
      </c>
      <c r="I765" s="57" t="s">
        <v>89</v>
      </c>
      <c r="J765" s="57" t="s">
        <v>145</v>
      </c>
      <c r="K765" s="57" t="s">
        <v>239</v>
      </c>
      <c r="L765" t="s">
        <v>302</v>
      </c>
    </row>
    <row r="766" spans="1:12" x14ac:dyDescent="0.3">
      <c r="A766" s="57" t="s">
        <v>1029</v>
      </c>
      <c r="B766" s="57" t="s">
        <v>273</v>
      </c>
      <c r="C766" s="57" t="s">
        <v>237</v>
      </c>
      <c r="D766" s="57" t="s">
        <v>141</v>
      </c>
      <c r="E766" s="57" t="s">
        <v>260</v>
      </c>
      <c r="F766">
        <v>2</v>
      </c>
      <c r="G766">
        <v>7000</v>
      </c>
      <c r="H766" s="11">
        <v>45555</v>
      </c>
      <c r="I766" s="57" t="s">
        <v>266</v>
      </c>
      <c r="J766" s="57" t="s">
        <v>145</v>
      </c>
      <c r="K766" s="57" t="s">
        <v>249</v>
      </c>
      <c r="L766" t="s">
        <v>243</v>
      </c>
    </row>
    <row r="767" spans="1:12" x14ac:dyDescent="0.3">
      <c r="A767" s="57" t="s">
        <v>1030</v>
      </c>
      <c r="B767" s="57" t="s">
        <v>195</v>
      </c>
      <c r="C767" s="57" t="s">
        <v>196</v>
      </c>
      <c r="D767" s="57" t="s">
        <v>238</v>
      </c>
      <c r="E767" s="57" t="s">
        <v>142</v>
      </c>
      <c r="F767">
        <v>10</v>
      </c>
      <c r="G767">
        <v>5900</v>
      </c>
      <c r="H767" s="11">
        <v>45557</v>
      </c>
      <c r="I767" s="57" t="s">
        <v>291</v>
      </c>
      <c r="J767" s="57" t="s">
        <v>150</v>
      </c>
      <c r="K767" s="57" t="s">
        <v>249</v>
      </c>
      <c r="L767" t="s">
        <v>240</v>
      </c>
    </row>
    <row r="768" spans="1:12" x14ac:dyDescent="0.3">
      <c r="A768" s="57" t="s">
        <v>1031</v>
      </c>
      <c r="B768" s="57" t="s">
        <v>195</v>
      </c>
      <c r="C768" s="57" t="s">
        <v>196</v>
      </c>
      <c r="D768" s="57" t="s">
        <v>148</v>
      </c>
      <c r="E768" s="57" t="s">
        <v>142</v>
      </c>
      <c r="F768">
        <v>10</v>
      </c>
      <c r="G768">
        <v>5900</v>
      </c>
      <c r="H768" s="11">
        <v>45155</v>
      </c>
      <c r="I768" s="57" t="s">
        <v>242</v>
      </c>
      <c r="J768" s="57" t="s">
        <v>147</v>
      </c>
      <c r="K768" s="57" t="s">
        <v>239</v>
      </c>
      <c r="L768" t="s">
        <v>240</v>
      </c>
    </row>
    <row r="769" spans="1:12" x14ac:dyDescent="0.3">
      <c r="A769" s="57" t="s">
        <v>1032</v>
      </c>
      <c r="B769" s="57" t="s">
        <v>251</v>
      </c>
      <c r="C769" s="57" t="s">
        <v>237</v>
      </c>
      <c r="D769" s="57" t="s">
        <v>141</v>
      </c>
      <c r="E769" s="57" t="s">
        <v>149</v>
      </c>
      <c r="F769">
        <v>7</v>
      </c>
      <c r="G769">
        <v>4815</v>
      </c>
      <c r="H769" s="11">
        <v>45427</v>
      </c>
      <c r="I769" s="57" t="s">
        <v>95</v>
      </c>
      <c r="J769" s="57" t="s">
        <v>147</v>
      </c>
      <c r="K769" s="57" t="s">
        <v>249</v>
      </c>
      <c r="L769" t="s">
        <v>240</v>
      </c>
    </row>
    <row r="770" spans="1:12" x14ac:dyDescent="0.3">
      <c r="A770" s="57" t="s">
        <v>1033</v>
      </c>
      <c r="B770" s="57" t="s">
        <v>245</v>
      </c>
      <c r="C770" s="57" t="s">
        <v>237</v>
      </c>
      <c r="D770" s="57" t="s">
        <v>141</v>
      </c>
      <c r="E770" s="57" t="s">
        <v>142</v>
      </c>
      <c r="F770">
        <v>5</v>
      </c>
      <c r="G770">
        <v>5900</v>
      </c>
      <c r="H770" s="11">
        <v>45224</v>
      </c>
      <c r="I770" s="57" t="s">
        <v>242</v>
      </c>
      <c r="J770" s="57" t="s">
        <v>147</v>
      </c>
      <c r="K770" s="57" t="s">
        <v>249</v>
      </c>
      <c r="L770" t="s">
        <v>240</v>
      </c>
    </row>
    <row r="771" spans="1:12" x14ac:dyDescent="0.3">
      <c r="A771" s="57" t="s">
        <v>1034</v>
      </c>
      <c r="B771" s="57" t="s">
        <v>247</v>
      </c>
      <c r="C771" s="57" t="s">
        <v>237</v>
      </c>
      <c r="D771" s="57" t="s">
        <v>152</v>
      </c>
      <c r="E771" s="57" t="s">
        <v>260</v>
      </c>
      <c r="F771">
        <v>0</v>
      </c>
      <c r="G771">
        <v>1700</v>
      </c>
      <c r="H771" s="11">
        <v>45460</v>
      </c>
      <c r="I771" s="57" t="s">
        <v>92</v>
      </c>
      <c r="J771" s="57" t="s">
        <v>147</v>
      </c>
      <c r="K771" s="57" t="s">
        <v>239</v>
      </c>
      <c r="L771" t="s">
        <v>258</v>
      </c>
    </row>
    <row r="772" spans="1:12" x14ac:dyDescent="0.3">
      <c r="A772" s="57" t="s">
        <v>1035</v>
      </c>
      <c r="B772" s="57" t="s">
        <v>262</v>
      </c>
      <c r="C772" s="57" t="s">
        <v>263</v>
      </c>
      <c r="D772" s="57" t="s">
        <v>146</v>
      </c>
      <c r="E772" s="57" t="s">
        <v>256</v>
      </c>
      <c r="F772">
        <v>5</v>
      </c>
      <c r="G772">
        <v>7000</v>
      </c>
      <c r="H772" s="11">
        <v>44992</v>
      </c>
      <c r="I772" s="57" t="s">
        <v>92</v>
      </c>
      <c r="J772" s="57" t="s">
        <v>248</v>
      </c>
      <c r="K772" s="57" t="s">
        <v>239</v>
      </c>
      <c r="L772" t="s">
        <v>243</v>
      </c>
    </row>
    <row r="773" spans="1:12" x14ac:dyDescent="0.3">
      <c r="A773" s="57" t="s">
        <v>1036</v>
      </c>
      <c r="B773" s="57" t="s">
        <v>275</v>
      </c>
      <c r="C773" s="57" t="s">
        <v>276</v>
      </c>
      <c r="D773" s="57" t="s">
        <v>151</v>
      </c>
      <c r="E773" s="57" t="s">
        <v>142</v>
      </c>
      <c r="F773">
        <v>10</v>
      </c>
      <c r="G773">
        <v>5900</v>
      </c>
      <c r="H773" s="11">
        <v>45461</v>
      </c>
      <c r="I773" s="57" t="s">
        <v>266</v>
      </c>
      <c r="J773" s="57" t="s">
        <v>150</v>
      </c>
      <c r="K773" s="57" t="s">
        <v>249</v>
      </c>
      <c r="L773" t="s">
        <v>240</v>
      </c>
    </row>
    <row r="774" spans="1:12" x14ac:dyDescent="0.3">
      <c r="A774" s="57" t="s">
        <v>1037</v>
      </c>
      <c r="B774" s="57" t="s">
        <v>262</v>
      </c>
      <c r="C774" s="57" t="s">
        <v>263</v>
      </c>
      <c r="D774" s="57" t="s">
        <v>141</v>
      </c>
      <c r="E774" s="57" t="s">
        <v>256</v>
      </c>
      <c r="F774">
        <v>7</v>
      </c>
      <c r="G774">
        <v>7000</v>
      </c>
      <c r="H774" s="11">
        <v>44941</v>
      </c>
      <c r="I774" s="57" t="s">
        <v>92</v>
      </c>
      <c r="J774" s="57" t="s">
        <v>147</v>
      </c>
      <c r="K774" s="57" t="s">
        <v>197</v>
      </c>
      <c r="L774" t="s">
        <v>243</v>
      </c>
    </row>
    <row r="775" spans="1:12" x14ac:dyDescent="0.3">
      <c r="A775" s="57" t="s">
        <v>1038</v>
      </c>
      <c r="B775" s="57" t="s">
        <v>247</v>
      </c>
      <c r="C775" s="57" t="s">
        <v>237</v>
      </c>
      <c r="D775" s="57" t="s">
        <v>238</v>
      </c>
      <c r="E775" s="57" t="s">
        <v>142</v>
      </c>
      <c r="F775">
        <v>2</v>
      </c>
      <c r="G775">
        <v>7000</v>
      </c>
      <c r="H775" s="11">
        <v>44971</v>
      </c>
      <c r="I775" s="57" t="s">
        <v>100</v>
      </c>
      <c r="J775" s="57" t="s">
        <v>143</v>
      </c>
      <c r="K775" s="57" t="s">
        <v>253</v>
      </c>
      <c r="L775" t="s">
        <v>243</v>
      </c>
    </row>
    <row r="776" spans="1:12" x14ac:dyDescent="0.3">
      <c r="A776" s="57" t="s">
        <v>1039</v>
      </c>
      <c r="B776" s="57" t="s">
        <v>268</v>
      </c>
      <c r="C776" s="57" t="s">
        <v>269</v>
      </c>
      <c r="D776" s="57" t="s">
        <v>148</v>
      </c>
      <c r="E776" s="57" t="s">
        <v>256</v>
      </c>
      <c r="F776">
        <v>5</v>
      </c>
      <c r="G776">
        <v>7000</v>
      </c>
      <c r="H776" s="11">
        <v>45513</v>
      </c>
      <c r="I776" s="57" t="s">
        <v>95</v>
      </c>
      <c r="J776" s="57" t="s">
        <v>145</v>
      </c>
      <c r="K776" s="57" t="s">
        <v>238</v>
      </c>
      <c r="L776" t="s">
        <v>243</v>
      </c>
    </row>
    <row r="777" spans="1:12" x14ac:dyDescent="0.3">
      <c r="A777" s="57" t="s">
        <v>1040</v>
      </c>
      <c r="B777" s="57" t="s">
        <v>273</v>
      </c>
      <c r="C777" s="57" t="s">
        <v>237</v>
      </c>
      <c r="D777" s="57" t="s">
        <v>146</v>
      </c>
      <c r="E777" s="57" t="s">
        <v>252</v>
      </c>
      <c r="F777">
        <v>0</v>
      </c>
      <c r="G777">
        <v>7000</v>
      </c>
      <c r="H777" s="11">
        <v>45410</v>
      </c>
      <c r="I777" s="57" t="s">
        <v>257</v>
      </c>
      <c r="J777" s="57" t="s">
        <v>143</v>
      </c>
      <c r="K777" s="57" t="s">
        <v>253</v>
      </c>
      <c r="L777" t="s">
        <v>243</v>
      </c>
    </row>
    <row r="778" spans="1:12" x14ac:dyDescent="0.3">
      <c r="A778" s="57" t="s">
        <v>1041</v>
      </c>
      <c r="B778" s="57" t="s">
        <v>236</v>
      </c>
      <c r="C778" s="57" t="s">
        <v>237</v>
      </c>
      <c r="D778" s="57" t="s">
        <v>152</v>
      </c>
      <c r="E778" s="57" t="s">
        <v>142</v>
      </c>
      <c r="F778">
        <v>5</v>
      </c>
      <c r="G778">
        <v>3284</v>
      </c>
      <c r="H778" s="11">
        <v>44989</v>
      </c>
      <c r="I778" s="57" t="s">
        <v>95</v>
      </c>
      <c r="J778" s="57" t="s">
        <v>145</v>
      </c>
      <c r="K778" s="57" t="s">
        <v>249</v>
      </c>
      <c r="L778" t="s">
        <v>258</v>
      </c>
    </row>
    <row r="779" spans="1:12" x14ac:dyDescent="0.3">
      <c r="A779" s="57" t="s">
        <v>1042</v>
      </c>
      <c r="B779" s="57" t="s">
        <v>247</v>
      </c>
      <c r="C779" s="57" t="s">
        <v>237</v>
      </c>
      <c r="D779" s="57" t="s">
        <v>152</v>
      </c>
      <c r="E779" s="57" t="s">
        <v>260</v>
      </c>
      <c r="F779">
        <v>10</v>
      </c>
      <c r="G779">
        <v>7000</v>
      </c>
      <c r="H779" s="11">
        <v>45045</v>
      </c>
      <c r="I779" s="57" t="s">
        <v>266</v>
      </c>
      <c r="J779" s="57" t="s">
        <v>147</v>
      </c>
      <c r="K779" s="57" t="s">
        <v>249</v>
      </c>
      <c r="L779" t="s">
        <v>243</v>
      </c>
    </row>
    <row r="780" spans="1:12" x14ac:dyDescent="0.3">
      <c r="A780" s="57" t="s">
        <v>1043</v>
      </c>
      <c r="B780" s="57" t="s">
        <v>195</v>
      </c>
      <c r="C780" s="57" t="s">
        <v>196</v>
      </c>
      <c r="D780" s="57" t="s">
        <v>238</v>
      </c>
      <c r="E780" s="57" t="s">
        <v>256</v>
      </c>
      <c r="F780">
        <v>10</v>
      </c>
      <c r="G780">
        <v>7000</v>
      </c>
      <c r="H780" s="11">
        <v>45308</v>
      </c>
      <c r="I780" s="57" t="s">
        <v>89</v>
      </c>
      <c r="J780" s="57" t="s">
        <v>150</v>
      </c>
      <c r="K780" s="57" t="s">
        <v>197</v>
      </c>
      <c r="L780" t="s">
        <v>243</v>
      </c>
    </row>
    <row r="781" spans="1:12" x14ac:dyDescent="0.3">
      <c r="A781" s="57" t="s">
        <v>1044</v>
      </c>
      <c r="B781" s="57" t="s">
        <v>262</v>
      </c>
      <c r="C781" s="57" t="s">
        <v>263</v>
      </c>
      <c r="D781" s="57" t="s">
        <v>153</v>
      </c>
      <c r="E781" s="57" t="s">
        <v>256</v>
      </c>
      <c r="F781">
        <v>5</v>
      </c>
      <c r="G781">
        <v>7000</v>
      </c>
      <c r="H781" s="11">
        <v>45603</v>
      </c>
      <c r="I781" s="57" t="s">
        <v>92</v>
      </c>
      <c r="J781" s="57" t="s">
        <v>248</v>
      </c>
      <c r="K781" s="57" t="s">
        <v>253</v>
      </c>
      <c r="L781" t="s">
        <v>243</v>
      </c>
    </row>
    <row r="782" spans="1:12" x14ac:dyDescent="0.3">
      <c r="A782" s="57" t="s">
        <v>1045</v>
      </c>
      <c r="B782" s="57" t="s">
        <v>195</v>
      </c>
      <c r="C782" s="57" t="s">
        <v>196</v>
      </c>
      <c r="D782" s="57" t="s">
        <v>144</v>
      </c>
      <c r="E782" s="57" t="s">
        <v>149</v>
      </c>
      <c r="F782">
        <v>0</v>
      </c>
      <c r="G782">
        <v>2615</v>
      </c>
      <c r="H782" s="11">
        <v>45311</v>
      </c>
      <c r="I782" s="57" t="s">
        <v>95</v>
      </c>
      <c r="J782" s="57" t="s">
        <v>150</v>
      </c>
      <c r="K782" s="57" t="s">
        <v>197</v>
      </c>
      <c r="L782" t="s">
        <v>258</v>
      </c>
    </row>
    <row r="783" spans="1:12" x14ac:dyDescent="0.3">
      <c r="A783" s="57" t="s">
        <v>1046</v>
      </c>
      <c r="B783" s="57" t="s">
        <v>236</v>
      </c>
      <c r="C783" s="57" t="s">
        <v>237</v>
      </c>
      <c r="D783" s="57" t="s">
        <v>141</v>
      </c>
      <c r="E783" s="57" t="s">
        <v>256</v>
      </c>
      <c r="F783">
        <v>3</v>
      </c>
      <c r="G783">
        <v>7000</v>
      </c>
      <c r="H783" s="11">
        <v>45502</v>
      </c>
      <c r="I783" s="57" t="s">
        <v>266</v>
      </c>
      <c r="J783" s="57" t="s">
        <v>145</v>
      </c>
      <c r="K783" s="57" t="s">
        <v>238</v>
      </c>
      <c r="L783" t="s">
        <v>243</v>
      </c>
    </row>
    <row r="784" spans="1:12" x14ac:dyDescent="0.3">
      <c r="A784" s="57" t="s">
        <v>1047</v>
      </c>
      <c r="B784" s="57" t="s">
        <v>275</v>
      </c>
      <c r="C784" s="57" t="s">
        <v>276</v>
      </c>
      <c r="D784" s="57" t="s">
        <v>144</v>
      </c>
      <c r="E784" s="57" t="s">
        <v>260</v>
      </c>
      <c r="F784">
        <v>5</v>
      </c>
      <c r="G784">
        <v>5900</v>
      </c>
      <c r="H784" s="11">
        <v>45207</v>
      </c>
      <c r="I784" s="57" t="s">
        <v>257</v>
      </c>
      <c r="J784" s="57" t="s">
        <v>147</v>
      </c>
      <c r="K784" s="57" t="s">
        <v>239</v>
      </c>
      <c r="L784" t="s">
        <v>240</v>
      </c>
    </row>
    <row r="785" spans="1:12" x14ac:dyDescent="0.3">
      <c r="A785" s="57" t="s">
        <v>1048</v>
      </c>
      <c r="B785" s="57" t="s">
        <v>251</v>
      </c>
      <c r="C785" s="57" t="s">
        <v>237</v>
      </c>
      <c r="D785" s="57" t="s">
        <v>148</v>
      </c>
      <c r="E785" s="57" t="s">
        <v>149</v>
      </c>
      <c r="F785">
        <v>0</v>
      </c>
      <c r="G785">
        <v>7000</v>
      </c>
      <c r="H785" s="11">
        <v>45099</v>
      </c>
      <c r="I785" s="57" t="s">
        <v>257</v>
      </c>
      <c r="J785" s="57" t="s">
        <v>143</v>
      </c>
      <c r="K785" s="57" t="s">
        <v>264</v>
      </c>
      <c r="L785" t="s">
        <v>243</v>
      </c>
    </row>
    <row r="786" spans="1:12" x14ac:dyDescent="0.3">
      <c r="A786" s="57" t="s">
        <v>1049</v>
      </c>
      <c r="B786" s="57" t="s">
        <v>251</v>
      </c>
      <c r="C786" s="57" t="s">
        <v>237</v>
      </c>
      <c r="D786" s="57" t="s">
        <v>238</v>
      </c>
      <c r="E786" s="57" t="s">
        <v>252</v>
      </c>
      <c r="F786">
        <v>0</v>
      </c>
      <c r="G786">
        <v>5900</v>
      </c>
      <c r="H786" s="11">
        <v>45413</v>
      </c>
      <c r="I786" s="57" t="s">
        <v>257</v>
      </c>
      <c r="J786" s="57" t="s">
        <v>248</v>
      </c>
      <c r="K786" s="57" t="s">
        <v>264</v>
      </c>
      <c r="L786" t="s">
        <v>240</v>
      </c>
    </row>
    <row r="787" spans="1:12" x14ac:dyDescent="0.3">
      <c r="A787" s="57" t="s">
        <v>1050</v>
      </c>
      <c r="B787" s="57" t="s">
        <v>245</v>
      </c>
      <c r="C787" s="57" t="s">
        <v>237</v>
      </c>
      <c r="D787" s="57" t="s">
        <v>151</v>
      </c>
      <c r="E787" s="57" t="s">
        <v>260</v>
      </c>
      <c r="F787">
        <v>5</v>
      </c>
      <c r="G787">
        <v>7000</v>
      </c>
      <c r="H787" s="11">
        <v>44928</v>
      </c>
      <c r="I787" s="57" t="s">
        <v>100</v>
      </c>
      <c r="J787" s="57" t="s">
        <v>248</v>
      </c>
      <c r="K787" s="57" t="s">
        <v>249</v>
      </c>
      <c r="L787" t="s">
        <v>243</v>
      </c>
    </row>
    <row r="788" spans="1:12" x14ac:dyDescent="0.3">
      <c r="A788" s="57" t="s">
        <v>1051</v>
      </c>
      <c r="B788" s="57" t="s">
        <v>245</v>
      </c>
      <c r="C788" s="57" t="s">
        <v>237</v>
      </c>
      <c r="D788" s="57" t="s">
        <v>151</v>
      </c>
      <c r="E788" s="57" t="s">
        <v>260</v>
      </c>
      <c r="F788">
        <v>7</v>
      </c>
      <c r="G788">
        <v>7000</v>
      </c>
      <c r="H788" s="11">
        <v>45047</v>
      </c>
      <c r="I788" s="57" t="s">
        <v>100</v>
      </c>
      <c r="J788" s="57" t="s">
        <v>150</v>
      </c>
      <c r="K788" s="57" t="s">
        <v>239</v>
      </c>
      <c r="L788" t="s">
        <v>243</v>
      </c>
    </row>
    <row r="789" spans="1:12" x14ac:dyDescent="0.3">
      <c r="A789" s="57" t="s">
        <v>1052</v>
      </c>
      <c r="B789" s="57" t="s">
        <v>251</v>
      </c>
      <c r="C789" s="57" t="s">
        <v>237</v>
      </c>
      <c r="D789" s="57" t="s">
        <v>144</v>
      </c>
      <c r="E789" s="57" t="s">
        <v>256</v>
      </c>
      <c r="F789">
        <v>0</v>
      </c>
      <c r="G789">
        <v>7000</v>
      </c>
      <c r="H789" s="11">
        <v>45140</v>
      </c>
      <c r="I789" s="57" t="s">
        <v>257</v>
      </c>
      <c r="J789" s="57" t="s">
        <v>147</v>
      </c>
      <c r="K789" s="57" t="s">
        <v>264</v>
      </c>
      <c r="L789" t="s">
        <v>243</v>
      </c>
    </row>
    <row r="790" spans="1:12" x14ac:dyDescent="0.3">
      <c r="A790" s="57" t="s">
        <v>1053</v>
      </c>
      <c r="B790" s="57" t="s">
        <v>195</v>
      </c>
      <c r="C790" s="57" t="s">
        <v>196</v>
      </c>
      <c r="D790" s="57" t="s">
        <v>238</v>
      </c>
      <c r="E790" s="57" t="s">
        <v>252</v>
      </c>
      <c r="F790">
        <v>5</v>
      </c>
      <c r="G790">
        <v>5900</v>
      </c>
      <c r="H790" s="11">
        <v>45024</v>
      </c>
      <c r="I790" s="57" t="s">
        <v>266</v>
      </c>
      <c r="J790" s="57" t="s">
        <v>248</v>
      </c>
      <c r="K790" s="57" t="s">
        <v>238</v>
      </c>
      <c r="L790" t="s">
        <v>240</v>
      </c>
    </row>
    <row r="791" spans="1:12" x14ac:dyDescent="0.3">
      <c r="A791" s="57" t="s">
        <v>1054</v>
      </c>
      <c r="B791" s="57" t="s">
        <v>273</v>
      </c>
      <c r="C791" s="57" t="s">
        <v>237</v>
      </c>
      <c r="D791" s="57" t="s">
        <v>238</v>
      </c>
      <c r="E791" s="57" t="s">
        <v>149</v>
      </c>
      <c r="F791">
        <v>7</v>
      </c>
      <c r="G791">
        <v>7000</v>
      </c>
      <c r="H791" s="11">
        <v>45217</v>
      </c>
      <c r="I791" s="57" t="s">
        <v>291</v>
      </c>
      <c r="J791" s="57" t="s">
        <v>150</v>
      </c>
      <c r="K791" s="57" t="s">
        <v>253</v>
      </c>
      <c r="L791" t="s">
        <v>243</v>
      </c>
    </row>
    <row r="792" spans="1:12" x14ac:dyDescent="0.3">
      <c r="A792" s="57" t="s">
        <v>1055</v>
      </c>
      <c r="B792" s="57" t="s">
        <v>195</v>
      </c>
      <c r="C792" s="57" t="s">
        <v>196</v>
      </c>
      <c r="D792" s="57" t="s">
        <v>238</v>
      </c>
      <c r="E792" s="57" t="s">
        <v>260</v>
      </c>
      <c r="F792">
        <v>0</v>
      </c>
      <c r="G792">
        <v>5900</v>
      </c>
      <c r="H792" s="11">
        <v>44941</v>
      </c>
      <c r="I792" s="57" t="s">
        <v>95</v>
      </c>
      <c r="J792" s="57" t="s">
        <v>143</v>
      </c>
      <c r="K792" s="57" t="s">
        <v>197</v>
      </c>
      <c r="L792" t="s">
        <v>240</v>
      </c>
    </row>
    <row r="793" spans="1:12" x14ac:dyDescent="0.3">
      <c r="A793" s="57" t="s">
        <v>1056</v>
      </c>
      <c r="B793" s="57" t="s">
        <v>255</v>
      </c>
      <c r="C793" s="57" t="s">
        <v>237</v>
      </c>
      <c r="D793" s="57" t="s">
        <v>141</v>
      </c>
      <c r="E793" s="57" t="s">
        <v>260</v>
      </c>
      <c r="F793">
        <v>0</v>
      </c>
      <c r="G793">
        <v>7000</v>
      </c>
      <c r="H793" s="11">
        <v>45147</v>
      </c>
      <c r="I793" s="57" t="s">
        <v>266</v>
      </c>
      <c r="J793" s="57" t="s">
        <v>150</v>
      </c>
      <c r="K793" s="57" t="s">
        <v>197</v>
      </c>
      <c r="L793" t="s">
        <v>243</v>
      </c>
    </row>
    <row r="794" spans="1:12" x14ac:dyDescent="0.3">
      <c r="A794" s="57" t="s">
        <v>1057</v>
      </c>
      <c r="B794" s="57" t="s">
        <v>247</v>
      </c>
      <c r="C794" s="57" t="s">
        <v>237</v>
      </c>
      <c r="D794" s="57" t="s">
        <v>238</v>
      </c>
      <c r="E794" s="57" t="s">
        <v>256</v>
      </c>
      <c r="F794">
        <v>7</v>
      </c>
      <c r="G794">
        <v>7000</v>
      </c>
      <c r="H794" s="11">
        <v>45273</v>
      </c>
      <c r="I794" s="57" t="s">
        <v>95</v>
      </c>
      <c r="J794" s="57" t="s">
        <v>150</v>
      </c>
      <c r="K794" s="57" t="s">
        <v>239</v>
      </c>
      <c r="L794" t="s">
        <v>243</v>
      </c>
    </row>
    <row r="795" spans="1:12" x14ac:dyDescent="0.3">
      <c r="A795" s="57" t="s">
        <v>1058</v>
      </c>
      <c r="B795" s="57" t="s">
        <v>251</v>
      </c>
      <c r="C795" s="57" t="s">
        <v>237</v>
      </c>
      <c r="D795" s="57" t="s">
        <v>238</v>
      </c>
      <c r="E795" s="57" t="s">
        <v>260</v>
      </c>
      <c r="F795">
        <v>7</v>
      </c>
      <c r="G795">
        <v>7000</v>
      </c>
      <c r="H795" s="11">
        <v>45253</v>
      </c>
      <c r="I795" s="57" t="s">
        <v>100</v>
      </c>
      <c r="J795" s="57" t="s">
        <v>150</v>
      </c>
      <c r="K795" s="57" t="s">
        <v>239</v>
      </c>
      <c r="L795" t="s">
        <v>243</v>
      </c>
    </row>
    <row r="796" spans="1:12" x14ac:dyDescent="0.3">
      <c r="A796" s="57" t="s">
        <v>1059</v>
      </c>
      <c r="B796" s="57" t="s">
        <v>195</v>
      </c>
      <c r="C796" s="57" t="s">
        <v>196</v>
      </c>
      <c r="D796" s="57" t="s">
        <v>238</v>
      </c>
      <c r="E796" s="57" t="s">
        <v>252</v>
      </c>
      <c r="F796">
        <v>0</v>
      </c>
      <c r="G796">
        <v>5900</v>
      </c>
      <c r="H796" s="11">
        <v>45621</v>
      </c>
      <c r="I796" s="57" t="s">
        <v>100</v>
      </c>
      <c r="J796" s="57" t="s">
        <v>147</v>
      </c>
      <c r="K796" s="57" t="s">
        <v>239</v>
      </c>
      <c r="L796" t="s">
        <v>240</v>
      </c>
    </row>
    <row r="797" spans="1:12" x14ac:dyDescent="0.3">
      <c r="A797" s="57" t="s">
        <v>1060</v>
      </c>
      <c r="B797" s="57" t="s">
        <v>245</v>
      </c>
      <c r="C797" s="57" t="s">
        <v>237</v>
      </c>
      <c r="D797" s="57" t="s">
        <v>148</v>
      </c>
      <c r="E797" s="57" t="s">
        <v>260</v>
      </c>
      <c r="F797">
        <v>5</v>
      </c>
      <c r="G797">
        <v>5900</v>
      </c>
      <c r="H797" s="11">
        <v>45215</v>
      </c>
      <c r="I797" s="57" t="s">
        <v>266</v>
      </c>
      <c r="J797" s="57" t="s">
        <v>145</v>
      </c>
      <c r="K797" s="57" t="s">
        <v>253</v>
      </c>
      <c r="L797" t="s">
        <v>240</v>
      </c>
    </row>
    <row r="798" spans="1:12" x14ac:dyDescent="0.3">
      <c r="A798" s="57" t="s">
        <v>1061</v>
      </c>
      <c r="B798" s="57" t="s">
        <v>251</v>
      </c>
      <c r="C798" s="57" t="s">
        <v>237</v>
      </c>
      <c r="D798" s="57" t="s">
        <v>141</v>
      </c>
      <c r="E798" s="57" t="s">
        <v>149</v>
      </c>
      <c r="F798">
        <v>9</v>
      </c>
      <c r="G798">
        <v>7000</v>
      </c>
      <c r="H798" s="11">
        <v>45574</v>
      </c>
      <c r="I798" s="57" t="s">
        <v>92</v>
      </c>
      <c r="J798" s="57" t="s">
        <v>147</v>
      </c>
      <c r="K798" s="57" t="s">
        <v>238</v>
      </c>
      <c r="L798" t="s">
        <v>243</v>
      </c>
    </row>
    <row r="799" spans="1:12" x14ac:dyDescent="0.3">
      <c r="A799" s="57" t="s">
        <v>1062</v>
      </c>
      <c r="B799" s="57" t="s">
        <v>251</v>
      </c>
      <c r="C799" s="57" t="s">
        <v>237</v>
      </c>
      <c r="D799" s="57" t="s">
        <v>151</v>
      </c>
      <c r="E799" s="57" t="s">
        <v>256</v>
      </c>
      <c r="F799">
        <v>5</v>
      </c>
      <c r="G799">
        <v>7000</v>
      </c>
      <c r="H799" s="11">
        <v>45145</v>
      </c>
      <c r="I799" s="57" t="s">
        <v>266</v>
      </c>
      <c r="J799" s="57" t="s">
        <v>248</v>
      </c>
      <c r="K799" s="57" t="s">
        <v>249</v>
      </c>
      <c r="L799" t="s">
        <v>243</v>
      </c>
    </row>
    <row r="800" spans="1:12" x14ac:dyDescent="0.3">
      <c r="A800" s="57" t="s">
        <v>1063</v>
      </c>
      <c r="B800" s="57" t="s">
        <v>268</v>
      </c>
      <c r="C800" s="57" t="s">
        <v>269</v>
      </c>
      <c r="D800" s="57" t="s">
        <v>153</v>
      </c>
      <c r="E800" s="57" t="s">
        <v>260</v>
      </c>
      <c r="F800">
        <v>10</v>
      </c>
      <c r="G800">
        <v>5900</v>
      </c>
      <c r="H800" s="11">
        <v>45242</v>
      </c>
      <c r="I800" s="57" t="s">
        <v>266</v>
      </c>
      <c r="J800" s="57" t="s">
        <v>145</v>
      </c>
      <c r="K800" s="57" t="s">
        <v>239</v>
      </c>
      <c r="L800" t="s">
        <v>240</v>
      </c>
    </row>
    <row r="801" spans="1:12" x14ac:dyDescent="0.3">
      <c r="A801" s="57" t="s">
        <v>1064</v>
      </c>
      <c r="B801" s="57" t="s">
        <v>247</v>
      </c>
      <c r="C801" s="57" t="s">
        <v>237</v>
      </c>
      <c r="D801" s="57" t="s">
        <v>144</v>
      </c>
      <c r="E801" s="57" t="s">
        <v>256</v>
      </c>
      <c r="F801">
        <v>7</v>
      </c>
      <c r="G801">
        <v>5900</v>
      </c>
      <c r="H801" s="11">
        <v>45135</v>
      </c>
      <c r="I801" s="57" t="s">
        <v>266</v>
      </c>
      <c r="J801" s="57" t="s">
        <v>147</v>
      </c>
      <c r="K801" s="57" t="s">
        <v>238</v>
      </c>
      <c r="L801" t="s">
        <v>240</v>
      </c>
    </row>
    <row r="802" spans="1:12" x14ac:dyDescent="0.3">
      <c r="A802" s="57" t="s">
        <v>1065</v>
      </c>
      <c r="B802" s="57" t="s">
        <v>195</v>
      </c>
      <c r="C802" s="57" t="s">
        <v>196</v>
      </c>
      <c r="D802" s="57" t="s">
        <v>144</v>
      </c>
      <c r="E802" s="57" t="s">
        <v>252</v>
      </c>
      <c r="F802">
        <v>4</v>
      </c>
      <c r="G802">
        <v>5900</v>
      </c>
      <c r="H802" s="11">
        <v>45149</v>
      </c>
      <c r="I802" s="57" t="s">
        <v>257</v>
      </c>
      <c r="J802" s="57" t="s">
        <v>143</v>
      </c>
      <c r="K802" s="57" t="s">
        <v>197</v>
      </c>
      <c r="L802" t="s">
        <v>240</v>
      </c>
    </row>
    <row r="803" spans="1:12" x14ac:dyDescent="0.3">
      <c r="A803" s="57" t="s">
        <v>1066</v>
      </c>
      <c r="B803" s="57" t="s">
        <v>275</v>
      </c>
      <c r="C803" s="57" t="s">
        <v>276</v>
      </c>
      <c r="D803" s="57" t="s">
        <v>148</v>
      </c>
      <c r="E803" s="57" t="s">
        <v>256</v>
      </c>
      <c r="F803">
        <v>0</v>
      </c>
      <c r="G803">
        <v>5900</v>
      </c>
      <c r="H803" s="11">
        <v>45401</v>
      </c>
      <c r="I803" s="57" t="s">
        <v>242</v>
      </c>
      <c r="J803" s="57" t="s">
        <v>143</v>
      </c>
      <c r="K803" s="57" t="s">
        <v>197</v>
      </c>
      <c r="L803" t="s">
        <v>240</v>
      </c>
    </row>
    <row r="804" spans="1:12" x14ac:dyDescent="0.3">
      <c r="A804" s="57" t="s">
        <v>1067</v>
      </c>
      <c r="B804" s="57" t="s">
        <v>275</v>
      </c>
      <c r="C804" s="57" t="s">
        <v>276</v>
      </c>
      <c r="D804" s="57" t="s">
        <v>148</v>
      </c>
      <c r="E804" s="57" t="s">
        <v>142</v>
      </c>
      <c r="F804">
        <v>7</v>
      </c>
      <c r="G804">
        <v>7000</v>
      </c>
      <c r="H804" s="11">
        <v>45570</v>
      </c>
      <c r="I804" s="57" t="s">
        <v>291</v>
      </c>
      <c r="J804" s="57" t="s">
        <v>248</v>
      </c>
      <c r="K804" s="57" t="s">
        <v>249</v>
      </c>
      <c r="L804" t="s">
        <v>243</v>
      </c>
    </row>
    <row r="805" spans="1:12" x14ac:dyDescent="0.3">
      <c r="A805" s="57" t="s">
        <v>1068</v>
      </c>
      <c r="B805" s="57" t="s">
        <v>251</v>
      </c>
      <c r="C805" s="57" t="s">
        <v>237</v>
      </c>
      <c r="D805" s="57" t="s">
        <v>238</v>
      </c>
      <c r="E805" s="57" t="s">
        <v>252</v>
      </c>
      <c r="F805">
        <v>10</v>
      </c>
      <c r="G805">
        <v>5900</v>
      </c>
      <c r="H805" s="11">
        <v>45102</v>
      </c>
      <c r="I805" s="57" t="s">
        <v>100</v>
      </c>
      <c r="J805" s="57" t="s">
        <v>150</v>
      </c>
      <c r="K805" s="57" t="s">
        <v>249</v>
      </c>
      <c r="L805" t="s">
        <v>240</v>
      </c>
    </row>
    <row r="806" spans="1:12" x14ac:dyDescent="0.3">
      <c r="A806" s="57" t="s">
        <v>1069</v>
      </c>
      <c r="B806" s="57" t="s">
        <v>262</v>
      </c>
      <c r="C806" s="57" t="s">
        <v>263</v>
      </c>
      <c r="D806" s="57" t="s">
        <v>144</v>
      </c>
      <c r="E806" s="57" t="s">
        <v>149</v>
      </c>
      <c r="F806">
        <v>0</v>
      </c>
      <c r="G806">
        <v>7000</v>
      </c>
      <c r="H806" s="11">
        <v>45318</v>
      </c>
      <c r="I806" s="57" t="s">
        <v>89</v>
      </c>
      <c r="J806" s="57" t="s">
        <v>145</v>
      </c>
      <c r="K806" s="57" t="s">
        <v>253</v>
      </c>
      <c r="L806" t="s">
        <v>243</v>
      </c>
    </row>
    <row r="807" spans="1:12" x14ac:dyDescent="0.3">
      <c r="A807" s="57" t="s">
        <v>1070</v>
      </c>
      <c r="B807" s="57" t="s">
        <v>255</v>
      </c>
      <c r="C807" s="57" t="s">
        <v>237</v>
      </c>
      <c r="D807" s="57" t="s">
        <v>151</v>
      </c>
      <c r="E807" s="57" t="s">
        <v>149</v>
      </c>
      <c r="F807">
        <v>7</v>
      </c>
      <c r="G807">
        <v>7000</v>
      </c>
      <c r="H807" s="11">
        <v>45471</v>
      </c>
      <c r="I807" s="57" t="s">
        <v>257</v>
      </c>
      <c r="J807" s="57" t="s">
        <v>248</v>
      </c>
      <c r="K807" s="57" t="s">
        <v>239</v>
      </c>
      <c r="L807" t="s">
        <v>243</v>
      </c>
    </row>
    <row r="808" spans="1:12" x14ac:dyDescent="0.3">
      <c r="A808" s="57" t="s">
        <v>1071</v>
      </c>
      <c r="B808" s="57" t="s">
        <v>275</v>
      </c>
      <c r="C808" s="57" t="s">
        <v>276</v>
      </c>
      <c r="D808" s="57" t="s">
        <v>151</v>
      </c>
      <c r="E808" s="57" t="s">
        <v>260</v>
      </c>
      <c r="F808">
        <v>7</v>
      </c>
      <c r="G808">
        <v>7000</v>
      </c>
      <c r="H808" s="11">
        <v>45008</v>
      </c>
      <c r="I808" s="57" t="s">
        <v>242</v>
      </c>
      <c r="J808" s="57" t="s">
        <v>147</v>
      </c>
      <c r="K808" s="57" t="s">
        <v>239</v>
      </c>
      <c r="L808" t="s">
        <v>243</v>
      </c>
    </row>
    <row r="809" spans="1:12" x14ac:dyDescent="0.3">
      <c r="A809" s="57" t="s">
        <v>1072</v>
      </c>
      <c r="B809" s="57" t="s">
        <v>255</v>
      </c>
      <c r="C809" s="57" t="s">
        <v>237</v>
      </c>
      <c r="D809" s="57" t="s">
        <v>238</v>
      </c>
      <c r="E809" s="57" t="s">
        <v>149</v>
      </c>
      <c r="F809">
        <v>0</v>
      </c>
      <c r="G809">
        <v>7000</v>
      </c>
      <c r="H809" s="11">
        <v>45193</v>
      </c>
      <c r="I809" s="57" t="s">
        <v>257</v>
      </c>
      <c r="J809" s="57" t="s">
        <v>143</v>
      </c>
      <c r="K809" s="57" t="s">
        <v>239</v>
      </c>
      <c r="L809" t="s">
        <v>243</v>
      </c>
    </row>
    <row r="810" spans="1:12" x14ac:dyDescent="0.3">
      <c r="A810" s="57" t="s">
        <v>1073</v>
      </c>
      <c r="B810" s="57" t="s">
        <v>275</v>
      </c>
      <c r="C810" s="57" t="s">
        <v>276</v>
      </c>
      <c r="D810" s="57" t="s">
        <v>141</v>
      </c>
      <c r="E810" s="57" t="s">
        <v>142</v>
      </c>
      <c r="F810">
        <v>7</v>
      </c>
      <c r="G810">
        <v>7000</v>
      </c>
      <c r="H810" s="11">
        <v>45073</v>
      </c>
      <c r="I810" s="57" t="s">
        <v>95</v>
      </c>
      <c r="J810" s="57" t="s">
        <v>150</v>
      </c>
      <c r="K810" s="57" t="s">
        <v>249</v>
      </c>
      <c r="L810" t="s">
        <v>243</v>
      </c>
    </row>
    <row r="811" spans="1:12" x14ac:dyDescent="0.3">
      <c r="A811" s="57" t="s">
        <v>1074</v>
      </c>
      <c r="B811" s="57" t="s">
        <v>236</v>
      </c>
      <c r="C811" s="57" t="s">
        <v>237</v>
      </c>
      <c r="D811" s="57" t="s">
        <v>238</v>
      </c>
      <c r="E811" s="57" t="s">
        <v>260</v>
      </c>
      <c r="F811">
        <v>7</v>
      </c>
      <c r="G811">
        <v>5900</v>
      </c>
      <c r="H811" s="11">
        <v>45383</v>
      </c>
      <c r="I811" s="57" t="s">
        <v>266</v>
      </c>
      <c r="J811" s="57" t="s">
        <v>248</v>
      </c>
      <c r="K811" s="57" t="s">
        <v>253</v>
      </c>
      <c r="L811" t="s">
        <v>240</v>
      </c>
    </row>
    <row r="812" spans="1:12" x14ac:dyDescent="0.3">
      <c r="A812" s="57" t="s">
        <v>1075</v>
      </c>
      <c r="B812" s="57" t="s">
        <v>262</v>
      </c>
      <c r="C812" s="57" t="s">
        <v>263</v>
      </c>
      <c r="D812" s="57" t="s">
        <v>151</v>
      </c>
      <c r="E812" s="57" t="s">
        <v>149</v>
      </c>
      <c r="F812">
        <v>10</v>
      </c>
      <c r="G812">
        <v>7000</v>
      </c>
      <c r="H812" s="11">
        <v>45093</v>
      </c>
      <c r="I812" s="57" t="s">
        <v>257</v>
      </c>
      <c r="J812" s="57" t="s">
        <v>145</v>
      </c>
      <c r="K812" s="57" t="s">
        <v>238</v>
      </c>
      <c r="L812" t="s">
        <v>243</v>
      </c>
    </row>
    <row r="813" spans="1:12" x14ac:dyDescent="0.3">
      <c r="A813" s="57" t="s">
        <v>1076</v>
      </c>
      <c r="B813" s="57" t="s">
        <v>245</v>
      </c>
      <c r="C813" s="57" t="s">
        <v>237</v>
      </c>
      <c r="D813" s="57" t="s">
        <v>146</v>
      </c>
      <c r="E813" s="57" t="s">
        <v>256</v>
      </c>
      <c r="F813">
        <v>9</v>
      </c>
      <c r="G813">
        <v>7000</v>
      </c>
      <c r="H813" s="11">
        <v>45455</v>
      </c>
      <c r="I813" s="57" t="s">
        <v>242</v>
      </c>
      <c r="J813" s="57" t="s">
        <v>145</v>
      </c>
      <c r="K813" s="57" t="s">
        <v>264</v>
      </c>
      <c r="L813" t="s">
        <v>243</v>
      </c>
    </row>
    <row r="814" spans="1:12" x14ac:dyDescent="0.3">
      <c r="A814" s="57" t="s">
        <v>1077</v>
      </c>
      <c r="B814" s="57" t="s">
        <v>262</v>
      </c>
      <c r="C814" s="57" t="s">
        <v>263</v>
      </c>
      <c r="D814" s="57" t="s">
        <v>141</v>
      </c>
      <c r="E814" s="57" t="s">
        <v>149</v>
      </c>
      <c r="F814">
        <v>0</v>
      </c>
      <c r="G814">
        <v>2985</v>
      </c>
      <c r="H814" s="11">
        <v>45035</v>
      </c>
      <c r="I814" s="57" t="s">
        <v>257</v>
      </c>
      <c r="J814" s="57" t="s">
        <v>248</v>
      </c>
      <c r="K814" s="57" t="s">
        <v>197</v>
      </c>
      <c r="L814" t="s">
        <v>258</v>
      </c>
    </row>
    <row r="815" spans="1:12" x14ac:dyDescent="0.3">
      <c r="A815" s="57" t="s">
        <v>1078</v>
      </c>
      <c r="B815" s="57" t="s">
        <v>268</v>
      </c>
      <c r="C815" s="57" t="s">
        <v>269</v>
      </c>
      <c r="D815" s="57" t="s">
        <v>238</v>
      </c>
      <c r="E815" s="57" t="s">
        <v>149</v>
      </c>
      <c r="F815">
        <v>9</v>
      </c>
      <c r="G815">
        <v>4392</v>
      </c>
      <c r="H815" s="11">
        <v>45168</v>
      </c>
      <c r="I815" s="57" t="s">
        <v>291</v>
      </c>
      <c r="J815" s="57" t="s">
        <v>147</v>
      </c>
      <c r="K815" s="57" t="s">
        <v>197</v>
      </c>
      <c r="L815" t="s">
        <v>240</v>
      </c>
    </row>
    <row r="816" spans="1:12" x14ac:dyDescent="0.3">
      <c r="A816" s="57" t="s">
        <v>1079</v>
      </c>
      <c r="B816" s="57" t="s">
        <v>195</v>
      </c>
      <c r="C816" s="57" t="s">
        <v>196</v>
      </c>
      <c r="D816" s="57" t="s">
        <v>238</v>
      </c>
      <c r="E816" s="57" t="s">
        <v>256</v>
      </c>
      <c r="F816">
        <v>0</v>
      </c>
      <c r="G816">
        <v>5900</v>
      </c>
      <c r="H816" s="11">
        <v>45412</v>
      </c>
      <c r="I816" s="57" t="s">
        <v>257</v>
      </c>
      <c r="J816" s="57" t="s">
        <v>147</v>
      </c>
      <c r="K816" s="57" t="s">
        <v>238</v>
      </c>
      <c r="L816" t="s">
        <v>240</v>
      </c>
    </row>
    <row r="817" spans="1:12" x14ac:dyDescent="0.3">
      <c r="A817" s="57" t="s">
        <v>1080</v>
      </c>
      <c r="B817" s="57" t="s">
        <v>262</v>
      </c>
      <c r="C817" s="57" t="s">
        <v>263</v>
      </c>
      <c r="D817" s="57" t="s">
        <v>148</v>
      </c>
      <c r="E817" s="57" t="s">
        <v>256</v>
      </c>
      <c r="F817">
        <v>10</v>
      </c>
      <c r="G817">
        <v>1083</v>
      </c>
      <c r="H817" s="11">
        <v>45354</v>
      </c>
      <c r="I817" s="57" t="s">
        <v>89</v>
      </c>
      <c r="J817" s="57" t="s">
        <v>143</v>
      </c>
      <c r="K817" s="57" t="s">
        <v>264</v>
      </c>
      <c r="L817" t="s">
        <v>258</v>
      </c>
    </row>
    <row r="818" spans="1:12" x14ac:dyDescent="0.3">
      <c r="A818" s="57" t="s">
        <v>1081</v>
      </c>
      <c r="B818" s="57" t="s">
        <v>236</v>
      </c>
      <c r="C818" s="57" t="s">
        <v>237</v>
      </c>
      <c r="D818" s="57" t="s">
        <v>238</v>
      </c>
      <c r="E818" s="57" t="s">
        <v>142</v>
      </c>
      <c r="F818">
        <v>10</v>
      </c>
      <c r="G818">
        <v>7000</v>
      </c>
      <c r="H818" s="11">
        <v>45203</v>
      </c>
      <c r="I818" s="57" t="s">
        <v>242</v>
      </c>
      <c r="J818" s="57" t="s">
        <v>145</v>
      </c>
      <c r="K818" s="57" t="s">
        <v>239</v>
      </c>
      <c r="L818" t="s">
        <v>243</v>
      </c>
    </row>
    <row r="819" spans="1:12" x14ac:dyDescent="0.3">
      <c r="A819" s="57" t="s">
        <v>1082</v>
      </c>
      <c r="B819" s="57" t="s">
        <v>236</v>
      </c>
      <c r="C819" s="57" t="s">
        <v>237</v>
      </c>
      <c r="D819" s="57" t="s">
        <v>238</v>
      </c>
      <c r="E819" s="57" t="s">
        <v>149</v>
      </c>
      <c r="F819">
        <v>0</v>
      </c>
      <c r="G819">
        <v>7000</v>
      </c>
      <c r="H819" s="11">
        <v>45193</v>
      </c>
      <c r="I819" s="57" t="s">
        <v>242</v>
      </c>
      <c r="J819" s="57" t="s">
        <v>143</v>
      </c>
      <c r="K819" s="57" t="s">
        <v>238</v>
      </c>
      <c r="L819" t="s">
        <v>243</v>
      </c>
    </row>
    <row r="820" spans="1:12" x14ac:dyDescent="0.3">
      <c r="A820" s="57" t="s">
        <v>1083</v>
      </c>
      <c r="B820" s="57" t="s">
        <v>273</v>
      </c>
      <c r="C820" s="57" t="s">
        <v>237</v>
      </c>
      <c r="D820" s="57" t="s">
        <v>238</v>
      </c>
      <c r="E820" s="57" t="s">
        <v>149</v>
      </c>
      <c r="F820">
        <v>10</v>
      </c>
      <c r="G820">
        <v>2347</v>
      </c>
      <c r="H820" s="11">
        <v>45618</v>
      </c>
      <c r="I820" s="57" t="s">
        <v>266</v>
      </c>
      <c r="J820" s="57" t="s">
        <v>150</v>
      </c>
      <c r="K820" s="57" t="s">
        <v>197</v>
      </c>
      <c r="L820" t="s">
        <v>258</v>
      </c>
    </row>
    <row r="821" spans="1:12" x14ac:dyDescent="0.3">
      <c r="A821" s="57" t="s">
        <v>1084</v>
      </c>
      <c r="B821" s="57" t="s">
        <v>255</v>
      </c>
      <c r="C821" s="57" t="s">
        <v>237</v>
      </c>
      <c r="D821" s="57" t="s">
        <v>238</v>
      </c>
      <c r="E821" s="57" t="s">
        <v>149</v>
      </c>
      <c r="F821">
        <v>0</v>
      </c>
      <c r="G821">
        <v>7000</v>
      </c>
      <c r="H821" s="11">
        <v>45355</v>
      </c>
      <c r="I821" s="57" t="s">
        <v>100</v>
      </c>
      <c r="J821" s="57" t="s">
        <v>143</v>
      </c>
      <c r="K821" s="57" t="s">
        <v>197</v>
      </c>
      <c r="L821" t="s">
        <v>243</v>
      </c>
    </row>
    <row r="822" spans="1:12" x14ac:dyDescent="0.3">
      <c r="A822" s="57" t="s">
        <v>1085</v>
      </c>
      <c r="B822" s="57" t="s">
        <v>195</v>
      </c>
      <c r="C822" s="57" t="s">
        <v>196</v>
      </c>
      <c r="D822" s="57" t="s">
        <v>238</v>
      </c>
      <c r="E822" s="57" t="s">
        <v>260</v>
      </c>
      <c r="F822">
        <v>10</v>
      </c>
      <c r="G822">
        <v>1672</v>
      </c>
      <c r="H822" s="11">
        <v>45614</v>
      </c>
      <c r="I822" s="57" t="s">
        <v>266</v>
      </c>
      <c r="J822" s="57" t="s">
        <v>143</v>
      </c>
      <c r="K822" s="57" t="s">
        <v>249</v>
      </c>
      <c r="L822" t="s">
        <v>258</v>
      </c>
    </row>
    <row r="823" spans="1:12" x14ac:dyDescent="0.3">
      <c r="A823" s="57" t="s">
        <v>1086</v>
      </c>
      <c r="B823" s="57" t="s">
        <v>268</v>
      </c>
      <c r="C823" s="57" t="s">
        <v>269</v>
      </c>
      <c r="D823" s="57" t="s">
        <v>152</v>
      </c>
      <c r="E823" s="57" t="s">
        <v>260</v>
      </c>
      <c r="F823">
        <v>10</v>
      </c>
      <c r="G823">
        <v>7000</v>
      </c>
      <c r="H823" s="11">
        <v>44989</v>
      </c>
      <c r="I823" s="57" t="s">
        <v>266</v>
      </c>
      <c r="J823" s="57" t="s">
        <v>147</v>
      </c>
      <c r="K823" s="57" t="s">
        <v>197</v>
      </c>
      <c r="L823" t="s">
        <v>243</v>
      </c>
    </row>
    <row r="824" spans="1:12" x14ac:dyDescent="0.3">
      <c r="A824" s="57" t="s">
        <v>1087</v>
      </c>
      <c r="B824" s="57" t="s">
        <v>273</v>
      </c>
      <c r="C824" s="57" t="s">
        <v>237</v>
      </c>
      <c r="D824" s="57" t="s">
        <v>146</v>
      </c>
      <c r="E824" s="57" t="s">
        <v>252</v>
      </c>
      <c r="F824">
        <v>10</v>
      </c>
      <c r="G824">
        <v>7000</v>
      </c>
      <c r="H824" s="11">
        <v>45324</v>
      </c>
      <c r="I824" s="57" t="s">
        <v>242</v>
      </c>
      <c r="J824" s="57" t="s">
        <v>248</v>
      </c>
      <c r="K824" s="57" t="s">
        <v>197</v>
      </c>
      <c r="L824" t="s">
        <v>243</v>
      </c>
    </row>
    <row r="825" spans="1:12" x14ac:dyDescent="0.3">
      <c r="A825" s="57" t="s">
        <v>1088</v>
      </c>
      <c r="B825" s="57" t="s">
        <v>275</v>
      </c>
      <c r="C825" s="57" t="s">
        <v>276</v>
      </c>
      <c r="D825" s="57" t="s">
        <v>148</v>
      </c>
      <c r="E825" s="57" t="s">
        <v>256</v>
      </c>
      <c r="F825">
        <v>5</v>
      </c>
      <c r="G825">
        <v>4102</v>
      </c>
      <c r="H825" s="11">
        <v>45269</v>
      </c>
      <c r="I825" s="57" t="s">
        <v>291</v>
      </c>
      <c r="J825" s="57" t="s">
        <v>145</v>
      </c>
      <c r="K825" s="57" t="s">
        <v>239</v>
      </c>
      <c r="L825" t="s">
        <v>240</v>
      </c>
    </row>
    <row r="826" spans="1:12" x14ac:dyDescent="0.3">
      <c r="A826" s="57" t="s">
        <v>1089</v>
      </c>
      <c r="B826" s="57" t="s">
        <v>255</v>
      </c>
      <c r="C826" s="57" t="s">
        <v>237</v>
      </c>
      <c r="D826" s="57" t="s">
        <v>238</v>
      </c>
      <c r="E826" s="57" t="s">
        <v>252</v>
      </c>
      <c r="F826">
        <v>7</v>
      </c>
      <c r="G826">
        <v>7000</v>
      </c>
      <c r="H826" s="11">
        <v>45326</v>
      </c>
      <c r="I826" s="57" t="s">
        <v>291</v>
      </c>
      <c r="J826" s="57" t="s">
        <v>145</v>
      </c>
      <c r="K826" s="57" t="s">
        <v>238</v>
      </c>
      <c r="L826" t="s">
        <v>243</v>
      </c>
    </row>
    <row r="827" spans="1:12" x14ac:dyDescent="0.3">
      <c r="A827" s="57" t="s">
        <v>1090</v>
      </c>
      <c r="B827" s="57" t="s">
        <v>195</v>
      </c>
      <c r="C827" s="57" t="s">
        <v>196</v>
      </c>
      <c r="D827" s="57" t="s">
        <v>151</v>
      </c>
      <c r="E827" s="57" t="s">
        <v>149</v>
      </c>
      <c r="F827">
        <v>7</v>
      </c>
      <c r="G827">
        <v>7000</v>
      </c>
      <c r="H827" s="11">
        <v>45521</v>
      </c>
      <c r="I827" s="57" t="s">
        <v>100</v>
      </c>
      <c r="J827" s="57" t="s">
        <v>143</v>
      </c>
      <c r="K827" s="57" t="s">
        <v>249</v>
      </c>
      <c r="L827" t="s">
        <v>243</v>
      </c>
    </row>
    <row r="828" spans="1:12" x14ac:dyDescent="0.3">
      <c r="A828" s="57" t="s">
        <v>1091</v>
      </c>
      <c r="B828" s="57" t="s">
        <v>275</v>
      </c>
      <c r="C828" s="57" t="s">
        <v>276</v>
      </c>
      <c r="D828" s="57" t="s">
        <v>238</v>
      </c>
      <c r="E828" s="57" t="s">
        <v>252</v>
      </c>
      <c r="F828">
        <v>7</v>
      </c>
      <c r="G828">
        <v>3952</v>
      </c>
      <c r="H828" s="11">
        <v>45063</v>
      </c>
      <c r="I828" s="57" t="s">
        <v>92</v>
      </c>
      <c r="J828" s="57" t="s">
        <v>147</v>
      </c>
      <c r="K828" s="57" t="s">
        <v>238</v>
      </c>
      <c r="L828" t="s">
        <v>258</v>
      </c>
    </row>
    <row r="829" spans="1:12" x14ac:dyDescent="0.3">
      <c r="A829" s="57" t="s">
        <v>1092</v>
      </c>
      <c r="B829" s="57" t="s">
        <v>195</v>
      </c>
      <c r="C829" s="57" t="s">
        <v>196</v>
      </c>
      <c r="D829" s="57" t="s">
        <v>151</v>
      </c>
      <c r="E829" s="57" t="s">
        <v>142</v>
      </c>
      <c r="F829">
        <v>5</v>
      </c>
      <c r="G829">
        <v>5900</v>
      </c>
      <c r="H829" s="11">
        <v>45160</v>
      </c>
      <c r="I829" s="57" t="s">
        <v>291</v>
      </c>
      <c r="J829" s="57" t="s">
        <v>143</v>
      </c>
      <c r="K829" s="57" t="s">
        <v>238</v>
      </c>
      <c r="L829" t="s">
        <v>240</v>
      </c>
    </row>
    <row r="830" spans="1:12" x14ac:dyDescent="0.3">
      <c r="A830" s="57" t="s">
        <v>1093</v>
      </c>
      <c r="B830" s="57" t="s">
        <v>245</v>
      </c>
      <c r="C830" s="57" t="s">
        <v>237</v>
      </c>
      <c r="D830" s="57" t="s">
        <v>148</v>
      </c>
      <c r="E830" s="57" t="s">
        <v>142</v>
      </c>
      <c r="F830">
        <v>3</v>
      </c>
      <c r="G830">
        <v>7000</v>
      </c>
      <c r="H830" s="11">
        <v>45607</v>
      </c>
      <c r="I830" s="57" t="s">
        <v>266</v>
      </c>
      <c r="J830" s="57" t="s">
        <v>150</v>
      </c>
      <c r="K830" s="57" t="s">
        <v>239</v>
      </c>
      <c r="L830" t="s">
        <v>243</v>
      </c>
    </row>
    <row r="831" spans="1:12" x14ac:dyDescent="0.3">
      <c r="A831" s="57" t="s">
        <v>1094</v>
      </c>
      <c r="B831" s="57" t="s">
        <v>251</v>
      </c>
      <c r="C831" s="57" t="s">
        <v>237</v>
      </c>
      <c r="D831" s="57" t="s">
        <v>152</v>
      </c>
      <c r="E831" s="57" t="s">
        <v>252</v>
      </c>
      <c r="F831">
        <v>10</v>
      </c>
      <c r="G831">
        <v>7000</v>
      </c>
      <c r="H831" s="11">
        <v>45593</v>
      </c>
      <c r="I831" s="57" t="s">
        <v>100</v>
      </c>
      <c r="J831" s="57" t="s">
        <v>248</v>
      </c>
      <c r="K831" s="57" t="s">
        <v>249</v>
      </c>
      <c r="L831" t="s">
        <v>243</v>
      </c>
    </row>
    <row r="832" spans="1:12" x14ac:dyDescent="0.3">
      <c r="A832" s="57" t="s">
        <v>1095</v>
      </c>
      <c r="B832" s="57" t="s">
        <v>251</v>
      </c>
      <c r="C832" s="57" t="s">
        <v>237</v>
      </c>
      <c r="D832" s="57" t="s">
        <v>141</v>
      </c>
      <c r="E832" s="57" t="s">
        <v>256</v>
      </c>
      <c r="F832">
        <v>7</v>
      </c>
      <c r="G832">
        <v>7000</v>
      </c>
      <c r="H832" s="11">
        <v>45396</v>
      </c>
      <c r="I832" s="57" t="s">
        <v>89</v>
      </c>
      <c r="J832" s="57" t="s">
        <v>143</v>
      </c>
      <c r="K832" s="57" t="s">
        <v>239</v>
      </c>
      <c r="L832" t="s">
        <v>243</v>
      </c>
    </row>
    <row r="833" spans="1:12" x14ac:dyDescent="0.3">
      <c r="A833" s="57" t="s">
        <v>1096</v>
      </c>
      <c r="B833" s="57" t="s">
        <v>275</v>
      </c>
      <c r="C833" s="57" t="s">
        <v>276</v>
      </c>
      <c r="D833" s="57" t="s">
        <v>238</v>
      </c>
      <c r="E833" s="57" t="s">
        <v>260</v>
      </c>
      <c r="F833">
        <v>4</v>
      </c>
      <c r="G833">
        <v>486</v>
      </c>
      <c r="H833" s="11">
        <v>45190</v>
      </c>
      <c r="I833" s="57" t="s">
        <v>89</v>
      </c>
      <c r="J833" s="57" t="s">
        <v>145</v>
      </c>
      <c r="K833" s="57" t="s">
        <v>239</v>
      </c>
      <c r="L833" t="s">
        <v>302</v>
      </c>
    </row>
    <row r="834" spans="1:12" x14ac:dyDescent="0.3">
      <c r="A834" s="57" t="s">
        <v>1097</v>
      </c>
      <c r="B834" s="57" t="s">
        <v>251</v>
      </c>
      <c r="C834" s="57" t="s">
        <v>237</v>
      </c>
      <c r="D834" s="57" t="s">
        <v>152</v>
      </c>
      <c r="E834" s="57" t="s">
        <v>149</v>
      </c>
      <c r="F834">
        <v>10</v>
      </c>
      <c r="G834">
        <v>5900</v>
      </c>
      <c r="H834" s="11">
        <v>45365</v>
      </c>
      <c r="I834" s="57" t="s">
        <v>100</v>
      </c>
      <c r="J834" s="57" t="s">
        <v>248</v>
      </c>
      <c r="K834" s="57" t="s">
        <v>238</v>
      </c>
      <c r="L834" t="s">
        <v>240</v>
      </c>
    </row>
    <row r="835" spans="1:12" x14ac:dyDescent="0.3">
      <c r="A835" s="57" t="s">
        <v>1098</v>
      </c>
      <c r="B835" s="57" t="s">
        <v>251</v>
      </c>
      <c r="C835" s="57" t="s">
        <v>237</v>
      </c>
      <c r="D835" s="57" t="s">
        <v>144</v>
      </c>
      <c r="E835" s="57" t="s">
        <v>142</v>
      </c>
      <c r="F835">
        <v>5</v>
      </c>
      <c r="G835">
        <v>7000</v>
      </c>
      <c r="H835" s="11">
        <v>45537</v>
      </c>
      <c r="I835" s="57" t="s">
        <v>242</v>
      </c>
      <c r="J835" s="57" t="s">
        <v>248</v>
      </c>
      <c r="K835" s="57" t="s">
        <v>197</v>
      </c>
      <c r="L835" t="s">
        <v>243</v>
      </c>
    </row>
    <row r="836" spans="1:12" x14ac:dyDescent="0.3">
      <c r="A836" s="57" t="s">
        <v>1099</v>
      </c>
      <c r="B836" s="57" t="s">
        <v>255</v>
      </c>
      <c r="C836" s="57" t="s">
        <v>237</v>
      </c>
      <c r="D836" s="57" t="s">
        <v>153</v>
      </c>
      <c r="E836" s="57" t="s">
        <v>256</v>
      </c>
      <c r="F836">
        <v>5</v>
      </c>
      <c r="G836">
        <v>4777</v>
      </c>
      <c r="H836" s="11">
        <v>45521</v>
      </c>
      <c r="I836" s="57" t="s">
        <v>242</v>
      </c>
      <c r="J836" s="57" t="s">
        <v>143</v>
      </c>
      <c r="K836" s="57" t="s">
        <v>197</v>
      </c>
      <c r="L836" t="s">
        <v>240</v>
      </c>
    </row>
    <row r="837" spans="1:12" x14ac:dyDescent="0.3">
      <c r="A837" s="57" t="s">
        <v>1100</v>
      </c>
      <c r="B837" s="57" t="s">
        <v>262</v>
      </c>
      <c r="C837" s="57" t="s">
        <v>263</v>
      </c>
      <c r="D837" s="57" t="s">
        <v>238</v>
      </c>
      <c r="E837" s="57" t="s">
        <v>149</v>
      </c>
      <c r="F837">
        <v>5</v>
      </c>
      <c r="G837">
        <v>5900</v>
      </c>
      <c r="H837" s="11">
        <v>45329</v>
      </c>
      <c r="I837" s="57" t="s">
        <v>89</v>
      </c>
      <c r="J837" s="57" t="s">
        <v>150</v>
      </c>
      <c r="K837" s="57" t="s">
        <v>197</v>
      </c>
      <c r="L837" t="s">
        <v>240</v>
      </c>
    </row>
    <row r="838" spans="1:12" x14ac:dyDescent="0.3">
      <c r="A838" s="57" t="s">
        <v>1101</v>
      </c>
      <c r="B838" s="57" t="s">
        <v>275</v>
      </c>
      <c r="C838" s="57" t="s">
        <v>276</v>
      </c>
      <c r="D838" s="57" t="s">
        <v>238</v>
      </c>
      <c r="E838" s="57" t="s">
        <v>252</v>
      </c>
      <c r="F838">
        <v>6</v>
      </c>
      <c r="G838">
        <v>7000</v>
      </c>
      <c r="H838" s="11">
        <v>45171</v>
      </c>
      <c r="I838" s="57" t="s">
        <v>92</v>
      </c>
      <c r="J838" s="57" t="s">
        <v>150</v>
      </c>
      <c r="K838" s="57" t="s">
        <v>253</v>
      </c>
      <c r="L838" t="s">
        <v>243</v>
      </c>
    </row>
    <row r="839" spans="1:12" x14ac:dyDescent="0.3">
      <c r="A839" s="57" t="s">
        <v>1102</v>
      </c>
      <c r="B839" s="57" t="s">
        <v>236</v>
      </c>
      <c r="C839" s="57" t="s">
        <v>237</v>
      </c>
      <c r="D839" s="57" t="s">
        <v>152</v>
      </c>
      <c r="E839" s="57" t="s">
        <v>256</v>
      </c>
      <c r="F839">
        <v>9</v>
      </c>
      <c r="G839">
        <v>7000</v>
      </c>
      <c r="H839" s="11">
        <v>45118</v>
      </c>
      <c r="I839" s="57" t="s">
        <v>242</v>
      </c>
      <c r="J839" s="57" t="s">
        <v>150</v>
      </c>
      <c r="K839" s="57" t="s">
        <v>197</v>
      </c>
      <c r="L839" t="s">
        <v>243</v>
      </c>
    </row>
    <row r="840" spans="1:12" x14ac:dyDescent="0.3">
      <c r="A840" s="57" t="s">
        <v>1103</v>
      </c>
      <c r="B840" s="57" t="s">
        <v>251</v>
      </c>
      <c r="C840" s="57" t="s">
        <v>237</v>
      </c>
      <c r="D840" s="57" t="s">
        <v>148</v>
      </c>
      <c r="E840" s="57" t="s">
        <v>149</v>
      </c>
      <c r="F840">
        <v>10</v>
      </c>
      <c r="G840">
        <v>7000</v>
      </c>
      <c r="H840" s="11">
        <v>45481</v>
      </c>
      <c r="I840" s="57" t="s">
        <v>291</v>
      </c>
      <c r="J840" s="57" t="s">
        <v>145</v>
      </c>
      <c r="K840" s="57" t="s">
        <v>239</v>
      </c>
      <c r="L840" t="s">
        <v>243</v>
      </c>
    </row>
    <row r="841" spans="1:12" x14ac:dyDescent="0.3">
      <c r="A841" s="57" t="s">
        <v>1104</v>
      </c>
      <c r="B841" s="57" t="s">
        <v>262</v>
      </c>
      <c r="C841" s="57" t="s">
        <v>263</v>
      </c>
      <c r="D841" s="57" t="s">
        <v>238</v>
      </c>
      <c r="E841" s="57" t="s">
        <v>256</v>
      </c>
      <c r="F841">
        <v>10</v>
      </c>
      <c r="G841">
        <v>7000</v>
      </c>
      <c r="H841" s="11">
        <v>45123</v>
      </c>
      <c r="I841" s="57" t="s">
        <v>266</v>
      </c>
      <c r="J841" s="57" t="s">
        <v>143</v>
      </c>
      <c r="K841" s="57" t="s">
        <v>197</v>
      </c>
      <c r="L841" t="s">
        <v>243</v>
      </c>
    </row>
    <row r="842" spans="1:12" x14ac:dyDescent="0.3">
      <c r="A842" s="57" t="s">
        <v>1105</v>
      </c>
      <c r="B842" s="57" t="s">
        <v>268</v>
      </c>
      <c r="C842" s="57" t="s">
        <v>269</v>
      </c>
      <c r="D842" s="57" t="s">
        <v>148</v>
      </c>
      <c r="E842" s="57" t="s">
        <v>149</v>
      </c>
      <c r="F842">
        <v>0</v>
      </c>
      <c r="G842">
        <v>3418</v>
      </c>
      <c r="H842" s="11">
        <v>45246</v>
      </c>
      <c r="I842" s="57" t="s">
        <v>291</v>
      </c>
      <c r="J842" s="57" t="s">
        <v>143</v>
      </c>
      <c r="K842" s="57" t="s">
        <v>239</v>
      </c>
      <c r="L842" t="s">
        <v>258</v>
      </c>
    </row>
    <row r="843" spans="1:12" x14ac:dyDescent="0.3">
      <c r="A843" s="57" t="s">
        <v>1106</v>
      </c>
      <c r="B843" s="57" t="s">
        <v>195</v>
      </c>
      <c r="C843" s="57" t="s">
        <v>196</v>
      </c>
      <c r="D843" s="57" t="s">
        <v>146</v>
      </c>
      <c r="E843" s="57" t="s">
        <v>260</v>
      </c>
      <c r="F843">
        <v>0</v>
      </c>
      <c r="G843">
        <v>2013</v>
      </c>
      <c r="H843" s="11">
        <v>45143</v>
      </c>
      <c r="I843" s="57" t="s">
        <v>242</v>
      </c>
      <c r="J843" s="57" t="s">
        <v>143</v>
      </c>
      <c r="K843" s="57" t="s">
        <v>238</v>
      </c>
      <c r="L843" t="s">
        <v>258</v>
      </c>
    </row>
    <row r="844" spans="1:12" x14ac:dyDescent="0.3">
      <c r="A844" s="57" t="s">
        <v>1107</v>
      </c>
      <c r="B844" s="57" t="s">
        <v>195</v>
      </c>
      <c r="C844" s="57" t="s">
        <v>196</v>
      </c>
      <c r="D844" s="57" t="s">
        <v>144</v>
      </c>
      <c r="E844" s="57" t="s">
        <v>149</v>
      </c>
      <c r="F844">
        <v>10</v>
      </c>
      <c r="G844">
        <v>5900</v>
      </c>
      <c r="H844" s="11">
        <v>45259</v>
      </c>
      <c r="I844" s="57" t="s">
        <v>242</v>
      </c>
      <c r="J844" s="57" t="s">
        <v>145</v>
      </c>
      <c r="K844" s="57" t="s">
        <v>197</v>
      </c>
      <c r="L844" t="s">
        <v>240</v>
      </c>
    </row>
    <row r="845" spans="1:12" x14ac:dyDescent="0.3">
      <c r="A845" s="57" t="s">
        <v>1108</v>
      </c>
      <c r="B845" s="57" t="s">
        <v>273</v>
      </c>
      <c r="C845" s="57" t="s">
        <v>237</v>
      </c>
      <c r="D845" s="57" t="s">
        <v>141</v>
      </c>
      <c r="E845" s="57" t="s">
        <v>142</v>
      </c>
      <c r="F845">
        <v>10</v>
      </c>
      <c r="G845">
        <v>7000</v>
      </c>
      <c r="H845" s="11">
        <v>45003</v>
      </c>
      <c r="I845" s="57" t="s">
        <v>89</v>
      </c>
      <c r="J845" s="57" t="s">
        <v>147</v>
      </c>
      <c r="K845" s="57" t="s">
        <v>249</v>
      </c>
      <c r="L845" t="s">
        <v>243</v>
      </c>
    </row>
    <row r="846" spans="1:12" x14ac:dyDescent="0.3">
      <c r="A846" s="57" t="s">
        <v>1109</v>
      </c>
      <c r="B846" s="57" t="s">
        <v>236</v>
      </c>
      <c r="C846" s="57" t="s">
        <v>237</v>
      </c>
      <c r="D846" s="57" t="s">
        <v>238</v>
      </c>
      <c r="E846" s="57" t="s">
        <v>252</v>
      </c>
      <c r="F846">
        <v>5</v>
      </c>
      <c r="G846">
        <v>5900</v>
      </c>
      <c r="H846" s="11">
        <v>45204</v>
      </c>
      <c r="I846" s="57" t="s">
        <v>92</v>
      </c>
      <c r="J846" s="57" t="s">
        <v>248</v>
      </c>
      <c r="K846" s="57" t="s">
        <v>197</v>
      </c>
      <c r="L846" t="s">
        <v>240</v>
      </c>
    </row>
    <row r="847" spans="1:12" x14ac:dyDescent="0.3">
      <c r="A847" s="57" t="s">
        <v>1110</v>
      </c>
      <c r="B847" s="57" t="s">
        <v>262</v>
      </c>
      <c r="C847" s="57" t="s">
        <v>263</v>
      </c>
      <c r="D847" s="57" t="s">
        <v>153</v>
      </c>
      <c r="E847" s="57" t="s">
        <v>142</v>
      </c>
      <c r="F847">
        <v>7</v>
      </c>
      <c r="G847">
        <v>4525</v>
      </c>
      <c r="H847" s="11">
        <v>45438</v>
      </c>
      <c r="I847" s="57" t="s">
        <v>266</v>
      </c>
      <c r="J847" s="57" t="s">
        <v>147</v>
      </c>
      <c r="K847" s="57" t="s">
        <v>264</v>
      </c>
      <c r="L847" t="s">
        <v>240</v>
      </c>
    </row>
    <row r="848" spans="1:12" x14ac:dyDescent="0.3">
      <c r="A848" s="57" t="s">
        <v>1111</v>
      </c>
      <c r="B848" s="57" t="s">
        <v>273</v>
      </c>
      <c r="C848" s="57" t="s">
        <v>237</v>
      </c>
      <c r="D848" s="57" t="s">
        <v>238</v>
      </c>
      <c r="E848" s="57" t="s">
        <v>149</v>
      </c>
      <c r="F848">
        <v>3</v>
      </c>
      <c r="G848">
        <v>2251</v>
      </c>
      <c r="H848" s="11">
        <v>45536</v>
      </c>
      <c r="I848" s="57" t="s">
        <v>257</v>
      </c>
      <c r="J848" s="57" t="s">
        <v>143</v>
      </c>
      <c r="K848" s="57" t="s">
        <v>239</v>
      </c>
      <c r="L848" t="s">
        <v>258</v>
      </c>
    </row>
    <row r="849" spans="1:12" x14ac:dyDescent="0.3">
      <c r="A849" s="57" t="s">
        <v>1112</v>
      </c>
      <c r="B849" s="57" t="s">
        <v>195</v>
      </c>
      <c r="C849" s="57" t="s">
        <v>196</v>
      </c>
      <c r="D849" s="57" t="s">
        <v>148</v>
      </c>
      <c r="E849" s="57" t="s">
        <v>149</v>
      </c>
      <c r="F849">
        <v>0</v>
      </c>
      <c r="G849">
        <v>7000</v>
      </c>
      <c r="H849" s="11">
        <v>45239</v>
      </c>
      <c r="I849" s="57" t="s">
        <v>100</v>
      </c>
      <c r="J849" s="57" t="s">
        <v>143</v>
      </c>
      <c r="K849" s="57" t="s">
        <v>238</v>
      </c>
      <c r="L849" t="s">
        <v>243</v>
      </c>
    </row>
    <row r="850" spans="1:12" x14ac:dyDescent="0.3">
      <c r="A850" s="57" t="s">
        <v>1113</v>
      </c>
      <c r="B850" s="57" t="s">
        <v>275</v>
      </c>
      <c r="C850" s="57" t="s">
        <v>276</v>
      </c>
      <c r="D850" s="57" t="s">
        <v>153</v>
      </c>
      <c r="E850" s="57" t="s">
        <v>142</v>
      </c>
      <c r="F850">
        <v>7</v>
      </c>
      <c r="G850">
        <v>7000</v>
      </c>
      <c r="H850" s="11">
        <v>45228</v>
      </c>
      <c r="I850" s="57" t="s">
        <v>266</v>
      </c>
      <c r="J850" s="57" t="s">
        <v>248</v>
      </c>
      <c r="K850" s="57" t="s">
        <v>197</v>
      </c>
      <c r="L850" t="s">
        <v>243</v>
      </c>
    </row>
    <row r="851" spans="1:12" x14ac:dyDescent="0.3">
      <c r="A851" s="57" t="s">
        <v>1114</v>
      </c>
      <c r="B851" s="57" t="s">
        <v>255</v>
      </c>
      <c r="C851" s="57" t="s">
        <v>237</v>
      </c>
      <c r="D851" s="57" t="s">
        <v>238</v>
      </c>
      <c r="E851" s="57" t="s">
        <v>260</v>
      </c>
      <c r="F851">
        <v>0</v>
      </c>
      <c r="G851">
        <v>4421</v>
      </c>
      <c r="H851" s="11">
        <v>45117</v>
      </c>
      <c r="I851" s="57" t="s">
        <v>291</v>
      </c>
      <c r="J851" s="57" t="s">
        <v>145</v>
      </c>
      <c r="K851" s="57" t="s">
        <v>239</v>
      </c>
      <c r="L851" t="s">
        <v>240</v>
      </c>
    </row>
    <row r="852" spans="1:12" x14ac:dyDescent="0.3">
      <c r="A852" s="57" t="s">
        <v>1115</v>
      </c>
      <c r="B852" s="57" t="s">
        <v>236</v>
      </c>
      <c r="C852" s="57" t="s">
        <v>237</v>
      </c>
      <c r="D852" s="57" t="s">
        <v>238</v>
      </c>
      <c r="E852" s="57" t="s">
        <v>149</v>
      </c>
      <c r="F852">
        <v>8</v>
      </c>
      <c r="G852">
        <v>7000</v>
      </c>
      <c r="H852" s="11">
        <v>45307</v>
      </c>
      <c r="I852" s="57" t="s">
        <v>257</v>
      </c>
      <c r="J852" s="57" t="s">
        <v>248</v>
      </c>
      <c r="K852" s="57" t="s">
        <v>238</v>
      </c>
      <c r="L852" t="s">
        <v>243</v>
      </c>
    </row>
    <row r="853" spans="1:12" x14ac:dyDescent="0.3">
      <c r="A853" s="57" t="s">
        <v>1116</v>
      </c>
      <c r="B853" s="57" t="s">
        <v>268</v>
      </c>
      <c r="C853" s="57" t="s">
        <v>269</v>
      </c>
      <c r="D853" s="57" t="s">
        <v>141</v>
      </c>
      <c r="E853" s="57" t="s">
        <v>149</v>
      </c>
      <c r="F853">
        <v>7</v>
      </c>
      <c r="G853">
        <v>2631</v>
      </c>
      <c r="H853" s="11">
        <v>45409</v>
      </c>
      <c r="I853" s="57" t="s">
        <v>257</v>
      </c>
      <c r="J853" s="57" t="s">
        <v>150</v>
      </c>
      <c r="K853" s="57" t="s">
        <v>239</v>
      </c>
      <c r="L853" t="s">
        <v>258</v>
      </c>
    </row>
    <row r="854" spans="1:12" x14ac:dyDescent="0.3">
      <c r="A854" s="57" t="s">
        <v>1117</v>
      </c>
      <c r="B854" s="57" t="s">
        <v>273</v>
      </c>
      <c r="C854" s="57" t="s">
        <v>237</v>
      </c>
      <c r="D854" s="57" t="s">
        <v>141</v>
      </c>
      <c r="E854" s="57" t="s">
        <v>149</v>
      </c>
      <c r="F854">
        <v>0</v>
      </c>
      <c r="G854">
        <v>5900</v>
      </c>
      <c r="H854" s="11">
        <v>45533</v>
      </c>
      <c r="I854" s="57" t="s">
        <v>291</v>
      </c>
      <c r="J854" s="57" t="s">
        <v>147</v>
      </c>
      <c r="K854" s="57" t="s">
        <v>197</v>
      </c>
      <c r="L854" t="s">
        <v>240</v>
      </c>
    </row>
    <row r="855" spans="1:12" x14ac:dyDescent="0.3">
      <c r="A855" s="57" t="s">
        <v>1118</v>
      </c>
      <c r="B855" s="57" t="s">
        <v>273</v>
      </c>
      <c r="C855" s="57" t="s">
        <v>237</v>
      </c>
      <c r="D855" s="57" t="s">
        <v>153</v>
      </c>
      <c r="E855" s="57" t="s">
        <v>256</v>
      </c>
      <c r="F855">
        <v>5</v>
      </c>
      <c r="G855">
        <v>7000</v>
      </c>
      <c r="H855" s="11">
        <v>45176</v>
      </c>
      <c r="I855" s="57" t="s">
        <v>257</v>
      </c>
      <c r="J855" s="57" t="s">
        <v>150</v>
      </c>
      <c r="K855" s="57" t="s">
        <v>253</v>
      </c>
      <c r="L855" t="s">
        <v>243</v>
      </c>
    </row>
    <row r="856" spans="1:12" x14ac:dyDescent="0.3">
      <c r="A856" s="57" t="s">
        <v>1119</v>
      </c>
      <c r="B856" s="57" t="s">
        <v>245</v>
      </c>
      <c r="C856" s="57" t="s">
        <v>237</v>
      </c>
      <c r="D856" s="57" t="s">
        <v>144</v>
      </c>
      <c r="E856" s="57" t="s">
        <v>260</v>
      </c>
      <c r="F856">
        <v>7</v>
      </c>
      <c r="G856">
        <v>7000</v>
      </c>
      <c r="H856" s="11">
        <v>45064</v>
      </c>
      <c r="I856" s="57" t="s">
        <v>257</v>
      </c>
      <c r="J856" s="57" t="s">
        <v>248</v>
      </c>
      <c r="K856" s="57" t="s">
        <v>239</v>
      </c>
      <c r="L856" t="s">
        <v>243</v>
      </c>
    </row>
    <row r="857" spans="1:12" x14ac:dyDescent="0.3">
      <c r="A857" s="57" t="s">
        <v>1120</v>
      </c>
      <c r="B857" s="57" t="s">
        <v>245</v>
      </c>
      <c r="C857" s="57" t="s">
        <v>237</v>
      </c>
      <c r="D857" s="57" t="s">
        <v>151</v>
      </c>
      <c r="E857" s="57" t="s">
        <v>149</v>
      </c>
      <c r="F857">
        <v>0</v>
      </c>
      <c r="G857">
        <v>7000</v>
      </c>
      <c r="H857" s="11">
        <v>45359</v>
      </c>
      <c r="I857" s="57" t="s">
        <v>100</v>
      </c>
      <c r="J857" s="57" t="s">
        <v>143</v>
      </c>
      <c r="K857" s="57" t="s">
        <v>238</v>
      </c>
      <c r="L857" t="s">
        <v>243</v>
      </c>
    </row>
    <row r="858" spans="1:12" x14ac:dyDescent="0.3">
      <c r="A858" s="57" t="s">
        <v>1121</v>
      </c>
      <c r="B858" s="57" t="s">
        <v>273</v>
      </c>
      <c r="C858" s="57" t="s">
        <v>237</v>
      </c>
      <c r="D858" s="57" t="s">
        <v>238</v>
      </c>
      <c r="E858" s="57" t="s">
        <v>142</v>
      </c>
      <c r="F858">
        <v>5</v>
      </c>
      <c r="G858">
        <v>7000</v>
      </c>
      <c r="H858" s="11">
        <v>45154</v>
      </c>
      <c r="I858" s="57" t="s">
        <v>95</v>
      </c>
      <c r="J858" s="57" t="s">
        <v>147</v>
      </c>
      <c r="K858" s="57" t="s">
        <v>253</v>
      </c>
      <c r="L858" t="s">
        <v>243</v>
      </c>
    </row>
    <row r="859" spans="1:12" x14ac:dyDescent="0.3">
      <c r="A859" s="57" t="s">
        <v>1122</v>
      </c>
      <c r="B859" s="57" t="s">
        <v>195</v>
      </c>
      <c r="C859" s="57" t="s">
        <v>196</v>
      </c>
      <c r="D859" s="57" t="s">
        <v>153</v>
      </c>
      <c r="E859" s="57" t="s">
        <v>142</v>
      </c>
      <c r="F859">
        <v>0</v>
      </c>
      <c r="G859">
        <v>5900</v>
      </c>
      <c r="H859" s="11">
        <v>45240</v>
      </c>
      <c r="I859" s="57" t="s">
        <v>242</v>
      </c>
      <c r="J859" s="57" t="s">
        <v>145</v>
      </c>
      <c r="K859" s="57" t="s">
        <v>249</v>
      </c>
      <c r="L859" t="s">
        <v>240</v>
      </c>
    </row>
    <row r="860" spans="1:12" x14ac:dyDescent="0.3">
      <c r="A860" s="57" t="s">
        <v>1123</v>
      </c>
      <c r="B860" s="57" t="s">
        <v>195</v>
      </c>
      <c r="C860" s="57" t="s">
        <v>196</v>
      </c>
      <c r="D860" s="57" t="s">
        <v>153</v>
      </c>
      <c r="E860" s="57" t="s">
        <v>260</v>
      </c>
      <c r="F860">
        <v>5</v>
      </c>
      <c r="G860">
        <v>7000</v>
      </c>
      <c r="H860" s="11">
        <v>44990</v>
      </c>
      <c r="I860" s="57" t="s">
        <v>95</v>
      </c>
      <c r="J860" s="57" t="s">
        <v>248</v>
      </c>
      <c r="K860" s="57" t="s">
        <v>239</v>
      </c>
      <c r="L860" t="s">
        <v>243</v>
      </c>
    </row>
    <row r="861" spans="1:12" x14ac:dyDescent="0.3">
      <c r="A861" s="57" t="s">
        <v>1124</v>
      </c>
      <c r="B861" s="57" t="s">
        <v>247</v>
      </c>
      <c r="C861" s="57" t="s">
        <v>237</v>
      </c>
      <c r="D861" s="57" t="s">
        <v>141</v>
      </c>
      <c r="E861" s="57" t="s">
        <v>256</v>
      </c>
      <c r="F861">
        <v>10</v>
      </c>
      <c r="G861">
        <v>301</v>
      </c>
      <c r="H861" s="11">
        <v>45131</v>
      </c>
      <c r="I861" s="57" t="s">
        <v>100</v>
      </c>
      <c r="J861" s="57" t="s">
        <v>150</v>
      </c>
      <c r="K861" s="57" t="s">
        <v>197</v>
      </c>
      <c r="L861" t="s">
        <v>302</v>
      </c>
    </row>
    <row r="862" spans="1:12" x14ac:dyDescent="0.3">
      <c r="A862" s="57" t="s">
        <v>1125</v>
      </c>
      <c r="B862" s="57" t="s">
        <v>273</v>
      </c>
      <c r="C862" s="57" t="s">
        <v>237</v>
      </c>
      <c r="D862" s="57" t="s">
        <v>141</v>
      </c>
      <c r="E862" s="57" t="s">
        <v>256</v>
      </c>
      <c r="F862">
        <v>0</v>
      </c>
      <c r="G862">
        <v>7000</v>
      </c>
      <c r="H862" s="11">
        <v>45190</v>
      </c>
      <c r="I862" s="57" t="s">
        <v>257</v>
      </c>
      <c r="J862" s="57" t="s">
        <v>248</v>
      </c>
      <c r="K862" s="57" t="s">
        <v>239</v>
      </c>
      <c r="L862" t="s">
        <v>243</v>
      </c>
    </row>
    <row r="863" spans="1:12" x14ac:dyDescent="0.3">
      <c r="A863" s="57" t="s">
        <v>1126</v>
      </c>
      <c r="B863" s="57" t="s">
        <v>268</v>
      </c>
      <c r="C863" s="57" t="s">
        <v>269</v>
      </c>
      <c r="D863" s="57" t="s">
        <v>153</v>
      </c>
      <c r="E863" s="57" t="s">
        <v>256</v>
      </c>
      <c r="F863">
        <v>10</v>
      </c>
      <c r="G863">
        <v>7000</v>
      </c>
      <c r="H863" s="11">
        <v>45620</v>
      </c>
      <c r="I863" s="57" t="s">
        <v>89</v>
      </c>
      <c r="J863" s="57" t="s">
        <v>143</v>
      </c>
      <c r="K863" s="57" t="s">
        <v>238</v>
      </c>
      <c r="L863" t="s">
        <v>243</v>
      </c>
    </row>
    <row r="864" spans="1:12" x14ac:dyDescent="0.3">
      <c r="A864" s="57" t="s">
        <v>1127</v>
      </c>
      <c r="B864" s="57" t="s">
        <v>245</v>
      </c>
      <c r="C864" s="57" t="s">
        <v>237</v>
      </c>
      <c r="D864" s="57" t="s">
        <v>152</v>
      </c>
      <c r="E864" s="57" t="s">
        <v>256</v>
      </c>
      <c r="F864">
        <v>10</v>
      </c>
      <c r="G864">
        <v>853</v>
      </c>
      <c r="H864" s="11">
        <v>45089</v>
      </c>
      <c r="I864" s="57" t="s">
        <v>89</v>
      </c>
      <c r="J864" s="57" t="s">
        <v>143</v>
      </c>
      <c r="K864" s="57" t="s">
        <v>249</v>
      </c>
      <c r="L864" t="s">
        <v>302</v>
      </c>
    </row>
    <row r="865" spans="1:12" x14ac:dyDescent="0.3">
      <c r="A865" s="57" t="s">
        <v>1128</v>
      </c>
      <c r="B865" s="57" t="s">
        <v>275</v>
      </c>
      <c r="C865" s="57" t="s">
        <v>276</v>
      </c>
      <c r="D865" s="57" t="s">
        <v>152</v>
      </c>
      <c r="E865" s="57" t="s">
        <v>149</v>
      </c>
      <c r="F865">
        <v>5</v>
      </c>
      <c r="G865">
        <v>1518</v>
      </c>
      <c r="H865" s="11">
        <v>45571</v>
      </c>
      <c r="I865" s="57" t="s">
        <v>257</v>
      </c>
      <c r="J865" s="57" t="s">
        <v>147</v>
      </c>
      <c r="K865" s="57" t="s">
        <v>239</v>
      </c>
      <c r="L865" t="s">
        <v>258</v>
      </c>
    </row>
    <row r="866" spans="1:12" x14ac:dyDescent="0.3">
      <c r="A866" s="57" t="s">
        <v>1129</v>
      </c>
      <c r="B866" s="57" t="s">
        <v>251</v>
      </c>
      <c r="C866" s="57" t="s">
        <v>237</v>
      </c>
      <c r="D866" s="57" t="s">
        <v>238</v>
      </c>
      <c r="E866" s="57" t="s">
        <v>260</v>
      </c>
      <c r="F866">
        <v>10</v>
      </c>
      <c r="G866">
        <v>7000</v>
      </c>
      <c r="H866" s="11">
        <v>44973</v>
      </c>
      <c r="I866" s="57" t="s">
        <v>257</v>
      </c>
      <c r="J866" s="57" t="s">
        <v>147</v>
      </c>
      <c r="K866" s="57" t="s">
        <v>249</v>
      </c>
      <c r="L866" t="s">
        <v>243</v>
      </c>
    </row>
    <row r="867" spans="1:12" x14ac:dyDescent="0.3">
      <c r="A867" s="57" t="s">
        <v>1130</v>
      </c>
      <c r="B867" s="57" t="s">
        <v>275</v>
      </c>
      <c r="C867" s="57" t="s">
        <v>276</v>
      </c>
      <c r="D867" s="57" t="s">
        <v>153</v>
      </c>
      <c r="E867" s="57" t="s">
        <v>142</v>
      </c>
      <c r="F867">
        <v>0</v>
      </c>
      <c r="G867">
        <v>7000</v>
      </c>
      <c r="H867" s="11">
        <v>45393</v>
      </c>
      <c r="I867" s="57" t="s">
        <v>95</v>
      </c>
      <c r="J867" s="57" t="s">
        <v>143</v>
      </c>
      <c r="K867" s="57" t="s">
        <v>239</v>
      </c>
      <c r="L867" t="s">
        <v>243</v>
      </c>
    </row>
    <row r="868" spans="1:12" x14ac:dyDescent="0.3">
      <c r="A868" s="57" t="s">
        <v>1131</v>
      </c>
      <c r="B868" s="57" t="s">
        <v>275</v>
      </c>
      <c r="C868" s="57" t="s">
        <v>276</v>
      </c>
      <c r="D868" s="57" t="s">
        <v>238</v>
      </c>
      <c r="E868" s="57" t="s">
        <v>256</v>
      </c>
      <c r="F868">
        <v>0</v>
      </c>
      <c r="G868">
        <v>3625</v>
      </c>
      <c r="H868" s="11">
        <v>44999</v>
      </c>
      <c r="I868" s="57" t="s">
        <v>257</v>
      </c>
      <c r="J868" s="57" t="s">
        <v>147</v>
      </c>
      <c r="K868" s="57" t="s">
        <v>238</v>
      </c>
      <c r="L868" t="s">
        <v>258</v>
      </c>
    </row>
    <row r="869" spans="1:12" x14ac:dyDescent="0.3">
      <c r="A869" s="57" t="s">
        <v>1132</v>
      </c>
      <c r="B869" s="57" t="s">
        <v>195</v>
      </c>
      <c r="C869" s="57" t="s">
        <v>196</v>
      </c>
      <c r="D869" s="57" t="s">
        <v>152</v>
      </c>
      <c r="E869" s="57" t="s">
        <v>256</v>
      </c>
      <c r="F869">
        <v>7</v>
      </c>
      <c r="G869">
        <v>7000</v>
      </c>
      <c r="H869" s="11">
        <v>45159</v>
      </c>
      <c r="I869" s="57" t="s">
        <v>291</v>
      </c>
      <c r="J869" s="57" t="s">
        <v>143</v>
      </c>
      <c r="K869" s="57" t="s">
        <v>197</v>
      </c>
      <c r="L869" t="s">
        <v>243</v>
      </c>
    </row>
    <row r="870" spans="1:12" x14ac:dyDescent="0.3">
      <c r="A870" s="57" t="s">
        <v>1133</v>
      </c>
      <c r="B870" s="57" t="s">
        <v>251</v>
      </c>
      <c r="C870" s="57" t="s">
        <v>237</v>
      </c>
      <c r="D870" s="57" t="s">
        <v>152</v>
      </c>
      <c r="E870" s="57" t="s">
        <v>149</v>
      </c>
      <c r="F870">
        <v>7</v>
      </c>
      <c r="G870">
        <v>5900</v>
      </c>
      <c r="H870" s="11">
        <v>45495</v>
      </c>
      <c r="I870" s="57" t="s">
        <v>291</v>
      </c>
      <c r="J870" s="57" t="s">
        <v>248</v>
      </c>
      <c r="K870" s="57" t="s">
        <v>239</v>
      </c>
      <c r="L870" t="s">
        <v>240</v>
      </c>
    </row>
    <row r="871" spans="1:12" x14ac:dyDescent="0.3">
      <c r="A871" s="57" t="s">
        <v>1134</v>
      </c>
      <c r="B871" s="57" t="s">
        <v>255</v>
      </c>
      <c r="C871" s="57" t="s">
        <v>237</v>
      </c>
      <c r="D871" s="57" t="s">
        <v>238</v>
      </c>
      <c r="E871" s="57" t="s">
        <v>149</v>
      </c>
      <c r="F871">
        <v>5</v>
      </c>
      <c r="G871">
        <v>7000</v>
      </c>
      <c r="H871" s="11">
        <v>45605</v>
      </c>
      <c r="I871" s="57" t="s">
        <v>266</v>
      </c>
      <c r="J871" s="57" t="s">
        <v>248</v>
      </c>
      <c r="K871" s="57" t="s">
        <v>197</v>
      </c>
      <c r="L871" t="s">
        <v>243</v>
      </c>
    </row>
    <row r="872" spans="1:12" x14ac:dyDescent="0.3">
      <c r="A872" s="57" t="s">
        <v>1135</v>
      </c>
      <c r="B872" s="57" t="s">
        <v>195</v>
      </c>
      <c r="C872" s="57" t="s">
        <v>196</v>
      </c>
      <c r="D872" s="57" t="s">
        <v>148</v>
      </c>
      <c r="E872" s="57" t="s">
        <v>260</v>
      </c>
      <c r="F872">
        <v>7</v>
      </c>
      <c r="G872">
        <v>7000</v>
      </c>
      <c r="H872" s="11">
        <v>45594</v>
      </c>
      <c r="I872" s="57" t="s">
        <v>242</v>
      </c>
      <c r="J872" s="57" t="s">
        <v>147</v>
      </c>
      <c r="K872" s="57" t="s">
        <v>249</v>
      </c>
      <c r="L872" t="s">
        <v>243</v>
      </c>
    </row>
    <row r="873" spans="1:12" x14ac:dyDescent="0.3">
      <c r="A873" s="57" t="s">
        <v>1136</v>
      </c>
      <c r="B873" s="57" t="s">
        <v>268</v>
      </c>
      <c r="C873" s="57" t="s">
        <v>269</v>
      </c>
      <c r="D873" s="57" t="s">
        <v>238</v>
      </c>
      <c r="E873" s="57" t="s">
        <v>260</v>
      </c>
      <c r="F873">
        <v>0</v>
      </c>
      <c r="G873">
        <v>7000</v>
      </c>
      <c r="H873" s="11">
        <v>45134</v>
      </c>
      <c r="I873" s="57" t="s">
        <v>92</v>
      </c>
      <c r="J873" s="57" t="s">
        <v>143</v>
      </c>
      <c r="K873" s="57" t="s">
        <v>238</v>
      </c>
      <c r="L873" t="s">
        <v>243</v>
      </c>
    </row>
    <row r="874" spans="1:12" x14ac:dyDescent="0.3">
      <c r="A874" s="57" t="s">
        <v>1137</v>
      </c>
      <c r="B874" s="57" t="s">
        <v>275</v>
      </c>
      <c r="C874" s="57" t="s">
        <v>276</v>
      </c>
      <c r="D874" s="57" t="s">
        <v>148</v>
      </c>
      <c r="E874" s="57" t="s">
        <v>260</v>
      </c>
      <c r="F874">
        <v>3</v>
      </c>
      <c r="G874">
        <v>7000</v>
      </c>
      <c r="H874" s="11">
        <v>44955</v>
      </c>
      <c r="I874" s="57" t="s">
        <v>95</v>
      </c>
      <c r="J874" s="57" t="s">
        <v>145</v>
      </c>
      <c r="K874" s="57" t="s">
        <v>239</v>
      </c>
      <c r="L874" t="s">
        <v>243</v>
      </c>
    </row>
    <row r="875" spans="1:12" x14ac:dyDescent="0.3">
      <c r="A875" s="57" t="s">
        <v>1138</v>
      </c>
      <c r="B875" s="57" t="s">
        <v>251</v>
      </c>
      <c r="C875" s="57" t="s">
        <v>237</v>
      </c>
      <c r="D875" s="57" t="s">
        <v>238</v>
      </c>
      <c r="E875" s="57" t="s">
        <v>260</v>
      </c>
      <c r="F875">
        <v>0</v>
      </c>
      <c r="G875">
        <v>5900</v>
      </c>
      <c r="H875" s="11">
        <v>45265</v>
      </c>
      <c r="I875" s="57" t="s">
        <v>257</v>
      </c>
      <c r="J875" s="57" t="s">
        <v>147</v>
      </c>
      <c r="K875" s="57" t="s">
        <v>239</v>
      </c>
      <c r="L875" t="s">
        <v>240</v>
      </c>
    </row>
    <row r="876" spans="1:12" x14ac:dyDescent="0.3">
      <c r="A876" s="57" t="s">
        <v>1139</v>
      </c>
      <c r="B876" s="57" t="s">
        <v>247</v>
      </c>
      <c r="C876" s="57" t="s">
        <v>237</v>
      </c>
      <c r="D876" s="57" t="s">
        <v>148</v>
      </c>
      <c r="E876" s="57" t="s">
        <v>256</v>
      </c>
      <c r="F876">
        <v>5</v>
      </c>
      <c r="G876">
        <v>2661</v>
      </c>
      <c r="H876" s="11">
        <v>45522</v>
      </c>
      <c r="I876" s="57" t="s">
        <v>92</v>
      </c>
      <c r="J876" s="57" t="s">
        <v>145</v>
      </c>
      <c r="K876" s="57" t="s">
        <v>238</v>
      </c>
      <c r="L876" t="s">
        <v>258</v>
      </c>
    </row>
    <row r="877" spans="1:12" x14ac:dyDescent="0.3">
      <c r="A877" s="57" t="s">
        <v>1140</v>
      </c>
      <c r="B877" s="57" t="s">
        <v>195</v>
      </c>
      <c r="C877" s="57" t="s">
        <v>196</v>
      </c>
      <c r="D877" s="57" t="s">
        <v>141</v>
      </c>
      <c r="E877" s="57" t="s">
        <v>256</v>
      </c>
      <c r="F877">
        <v>1</v>
      </c>
      <c r="G877">
        <v>7000</v>
      </c>
      <c r="H877" s="11">
        <v>45498</v>
      </c>
      <c r="I877" s="57" t="s">
        <v>291</v>
      </c>
      <c r="J877" s="57" t="s">
        <v>150</v>
      </c>
      <c r="K877" s="57" t="s">
        <v>239</v>
      </c>
      <c r="L877" t="s">
        <v>243</v>
      </c>
    </row>
    <row r="878" spans="1:12" x14ac:dyDescent="0.3">
      <c r="A878" s="57" t="s">
        <v>1141</v>
      </c>
      <c r="B878" s="57" t="s">
        <v>247</v>
      </c>
      <c r="C878" s="57" t="s">
        <v>237</v>
      </c>
      <c r="D878" s="57" t="s">
        <v>238</v>
      </c>
      <c r="E878" s="57" t="s">
        <v>256</v>
      </c>
      <c r="F878">
        <v>10</v>
      </c>
      <c r="G878">
        <v>4625</v>
      </c>
      <c r="H878" s="11">
        <v>45457</v>
      </c>
      <c r="I878" s="57" t="s">
        <v>95</v>
      </c>
      <c r="J878" s="57" t="s">
        <v>143</v>
      </c>
      <c r="K878" s="57" t="s">
        <v>197</v>
      </c>
      <c r="L878" t="s">
        <v>240</v>
      </c>
    </row>
    <row r="879" spans="1:12" x14ac:dyDescent="0.3">
      <c r="A879" s="57" t="s">
        <v>1142</v>
      </c>
      <c r="B879" s="57" t="s">
        <v>245</v>
      </c>
      <c r="C879" s="57" t="s">
        <v>237</v>
      </c>
      <c r="D879" s="57" t="s">
        <v>152</v>
      </c>
      <c r="E879" s="57" t="s">
        <v>142</v>
      </c>
      <c r="F879">
        <v>3</v>
      </c>
      <c r="G879">
        <v>5900</v>
      </c>
      <c r="H879" s="11">
        <v>45397</v>
      </c>
      <c r="I879" s="57" t="s">
        <v>266</v>
      </c>
      <c r="J879" s="57" t="s">
        <v>143</v>
      </c>
      <c r="K879" s="57" t="s">
        <v>239</v>
      </c>
      <c r="L879" t="s">
        <v>240</v>
      </c>
    </row>
    <row r="880" spans="1:12" x14ac:dyDescent="0.3">
      <c r="A880" s="57" t="s">
        <v>1143</v>
      </c>
      <c r="B880" s="57" t="s">
        <v>195</v>
      </c>
      <c r="C880" s="57" t="s">
        <v>196</v>
      </c>
      <c r="D880" s="57" t="s">
        <v>151</v>
      </c>
      <c r="E880" s="57" t="s">
        <v>142</v>
      </c>
      <c r="F880">
        <v>5</v>
      </c>
      <c r="G880">
        <v>7000</v>
      </c>
      <c r="H880" s="11">
        <v>45289</v>
      </c>
      <c r="I880" s="57" t="s">
        <v>92</v>
      </c>
      <c r="J880" s="57" t="s">
        <v>145</v>
      </c>
      <c r="K880" s="57" t="s">
        <v>249</v>
      </c>
      <c r="L880" t="s">
        <v>243</v>
      </c>
    </row>
    <row r="881" spans="1:12" x14ac:dyDescent="0.3">
      <c r="A881" s="57" t="s">
        <v>1144</v>
      </c>
      <c r="B881" s="57" t="s">
        <v>262</v>
      </c>
      <c r="C881" s="57" t="s">
        <v>263</v>
      </c>
      <c r="D881" s="57" t="s">
        <v>148</v>
      </c>
      <c r="E881" s="57" t="s">
        <v>252</v>
      </c>
      <c r="F881">
        <v>0</v>
      </c>
      <c r="G881">
        <v>3746</v>
      </c>
      <c r="H881" s="11">
        <v>45034</v>
      </c>
      <c r="I881" s="57" t="s">
        <v>291</v>
      </c>
      <c r="J881" s="57" t="s">
        <v>248</v>
      </c>
      <c r="K881" s="57" t="s">
        <v>197</v>
      </c>
      <c r="L881" t="s">
        <v>258</v>
      </c>
    </row>
    <row r="882" spans="1:12" x14ac:dyDescent="0.3">
      <c r="A882" s="57" t="s">
        <v>1145</v>
      </c>
      <c r="B882" s="57" t="s">
        <v>236</v>
      </c>
      <c r="C882" s="57" t="s">
        <v>237</v>
      </c>
      <c r="D882" s="57" t="s">
        <v>151</v>
      </c>
      <c r="E882" s="57" t="s">
        <v>149</v>
      </c>
      <c r="F882">
        <v>0</v>
      </c>
      <c r="G882">
        <v>180</v>
      </c>
      <c r="H882" s="11">
        <v>45477</v>
      </c>
      <c r="I882" s="57" t="s">
        <v>92</v>
      </c>
      <c r="J882" s="57" t="s">
        <v>248</v>
      </c>
      <c r="K882" s="57" t="s">
        <v>239</v>
      </c>
      <c r="L882" t="s">
        <v>302</v>
      </c>
    </row>
    <row r="883" spans="1:12" x14ac:dyDescent="0.3">
      <c r="A883" s="57" t="s">
        <v>1146</v>
      </c>
      <c r="B883" s="57" t="s">
        <v>245</v>
      </c>
      <c r="C883" s="57" t="s">
        <v>237</v>
      </c>
      <c r="D883" s="57" t="s">
        <v>238</v>
      </c>
      <c r="E883" s="57" t="s">
        <v>256</v>
      </c>
      <c r="F883">
        <v>1</v>
      </c>
      <c r="G883">
        <v>5900</v>
      </c>
      <c r="H883" s="11">
        <v>45048</v>
      </c>
      <c r="I883" s="57" t="s">
        <v>266</v>
      </c>
      <c r="J883" s="57" t="s">
        <v>145</v>
      </c>
      <c r="K883" s="57" t="s">
        <v>197</v>
      </c>
      <c r="L883" t="s">
        <v>240</v>
      </c>
    </row>
    <row r="884" spans="1:12" x14ac:dyDescent="0.3">
      <c r="A884" s="57" t="s">
        <v>1147</v>
      </c>
      <c r="B884" s="57" t="s">
        <v>247</v>
      </c>
      <c r="C884" s="57" t="s">
        <v>237</v>
      </c>
      <c r="D884" s="57" t="s">
        <v>238</v>
      </c>
      <c r="E884" s="57" t="s">
        <v>142</v>
      </c>
      <c r="F884">
        <v>10</v>
      </c>
      <c r="G884">
        <v>5900</v>
      </c>
      <c r="H884" s="11">
        <v>44992</v>
      </c>
      <c r="I884" s="57" t="s">
        <v>95</v>
      </c>
      <c r="J884" s="57" t="s">
        <v>145</v>
      </c>
      <c r="K884" s="57" t="s">
        <v>238</v>
      </c>
      <c r="L884" t="s">
        <v>240</v>
      </c>
    </row>
    <row r="885" spans="1:12" x14ac:dyDescent="0.3">
      <c r="A885" s="57" t="s">
        <v>1148</v>
      </c>
      <c r="B885" s="57" t="s">
        <v>262</v>
      </c>
      <c r="C885" s="57" t="s">
        <v>263</v>
      </c>
      <c r="D885" s="57" t="s">
        <v>238</v>
      </c>
      <c r="E885" s="57" t="s">
        <v>142</v>
      </c>
      <c r="F885">
        <v>7</v>
      </c>
      <c r="G885">
        <v>7000</v>
      </c>
      <c r="H885" s="11">
        <v>45288</v>
      </c>
      <c r="I885" s="57" t="s">
        <v>92</v>
      </c>
      <c r="J885" s="57" t="s">
        <v>145</v>
      </c>
      <c r="K885" s="57" t="s">
        <v>238</v>
      </c>
      <c r="L885" t="s">
        <v>243</v>
      </c>
    </row>
    <row r="886" spans="1:12" x14ac:dyDescent="0.3">
      <c r="A886" s="57" t="s">
        <v>1149</v>
      </c>
      <c r="B886" s="57" t="s">
        <v>275</v>
      </c>
      <c r="C886" s="57" t="s">
        <v>276</v>
      </c>
      <c r="D886" s="57" t="s">
        <v>151</v>
      </c>
      <c r="E886" s="57" t="s">
        <v>142</v>
      </c>
      <c r="F886">
        <v>0</v>
      </c>
      <c r="G886">
        <v>7000</v>
      </c>
      <c r="H886" s="11">
        <v>45182</v>
      </c>
      <c r="I886" s="57" t="s">
        <v>100</v>
      </c>
      <c r="J886" s="57" t="s">
        <v>150</v>
      </c>
      <c r="K886" s="57" t="s">
        <v>197</v>
      </c>
      <c r="L886" t="s">
        <v>243</v>
      </c>
    </row>
    <row r="887" spans="1:12" x14ac:dyDescent="0.3">
      <c r="A887" s="57" t="s">
        <v>1150</v>
      </c>
      <c r="B887" s="57" t="s">
        <v>245</v>
      </c>
      <c r="C887" s="57" t="s">
        <v>237</v>
      </c>
      <c r="D887" s="57" t="s">
        <v>151</v>
      </c>
      <c r="E887" s="57" t="s">
        <v>142</v>
      </c>
      <c r="F887">
        <v>10</v>
      </c>
      <c r="G887">
        <v>4290</v>
      </c>
      <c r="H887" s="11">
        <v>45256</v>
      </c>
      <c r="I887" s="57" t="s">
        <v>242</v>
      </c>
      <c r="J887" s="57" t="s">
        <v>150</v>
      </c>
      <c r="K887" s="57" t="s">
        <v>239</v>
      </c>
      <c r="L887" t="s">
        <v>240</v>
      </c>
    </row>
    <row r="888" spans="1:12" x14ac:dyDescent="0.3">
      <c r="A888" s="57" t="s">
        <v>1151</v>
      </c>
      <c r="B888" s="57" t="s">
        <v>268</v>
      </c>
      <c r="C888" s="57" t="s">
        <v>269</v>
      </c>
      <c r="D888" s="57" t="s">
        <v>152</v>
      </c>
      <c r="E888" s="57" t="s">
        <v>256</v>
      </c>
      <c r="F888">
        <v>0</v>
      </c>
      <c r="G888">
        <v>7000</v>
      </c>
      <c r="H888" s="11">
        <v>45571</v>
      </c>
      <c r="I888" s="57" t="s">
        <v>266</v>
      </c>
      <c r="J888" s="57" t="s">
        <v>150</v>
      </c>
      <c r="K888" s="57" t="s">
        <v>238</v>
      </c>
      <c r="L888" t="s">
        <v>243</v>
      </c>
    </row>
    <row r="889" spans="1:12" x14ac:dyDescent="0.3">
      <c r="A889" s="57" t="s">
        <v>1152</v>
      </c>
      <c r="B889" s="57" t="s">
        <v>275</v>
      </c>
      <c r="C889" s="57" t="s">
        <v>276</v>
      </c>
      <c r="D889" s="57" t="s">
        <v>141</v>
      </c>
      <c r="E889" s="57" t="s">
        <v>260</v>
      </c>
      <c r="F889">
        <v>7</v>
      </c>
      <c r="G889">
        <v>7000</v>
      </c>
      <c r="H889" s="11">
        <v>44954</v>
      </c>
      <c r="I889" s="57" t="s">
        <v>257</v>
      </c>
      <c r="J889" s="57" t="s">
        <v>248</v>
      </c>
      <c r="K889" s="57" t="s">
        <v>197</v>
      </c>
      <c r="L889" t="s">
        <v>243</v>
      </c>
    </row>
    <row r="890" spans="1:12" x14ac:dyDescent="0.3">
      <c r="A890" s="57" t="s">
        <v>1153</v>
      </c>
      <c r="B890" s="57" t="s">
        <v>275</v>
      </c>
      <c r="C890" s="57" t="s">
        <v>276</v>
      </c>
      <c r="D890" s="57" t="s">
        <v>148</v>
      </c>
      <c r="E890" s="57" t="s">
        <v>142</v>
      </c>
      <c r="F890">
        <v>0</v>
      </c>
      <c r="G890">
        <v>5900</v>
      </c>
      <c r="H890" s="11">
        <v>45413</v>
      </c>
      <c r="I890" s="57" t="s">
        <v>291</v>
      </c>
      <c r="J890" s="57" t="s">
        <v>145</v>
      </c>
      <c r="K890" s="57" t="s">
        <v>264</v>
      </c>
      <c r="L890" t="s">
        <v>240</v>
      </c>
    </row>
    <row r="891" spans="1:12" x14ac:dyDescent="0.3">
      <c r="A891" s="57" t="s">
        <v>1154</v>
      </c>
      <c r="B891" s="57" t="s">
        <v>275</v>
      </c>
      <c r="C891" s="57" t="s">
        <v>276</v>
      </c>
      <c r="D891" s="57" t="s">
        <v>141</v>
      </c>
      <c r="E891" s="57" t="s">
        <v>252</v>
      </c>
      <c r="F891">
        <v>5</v>
      </c>
      <c r="G891">
        <v>940</v>
      </c>
      <c r="H891" s="11">
        <v>45053</v>
      </c>
      <c r="I891" s="57" t="s">
        <v>291</v>
      </c>
      <c r="J891" s="57" t="s">
        <v>145</v>
      </c>
      <c r="K891" s="57" t="s">
        <v>197</v>
      </c>
      <c r="L891" t="s">
        <v>302</v>
      </c>
    </row>
    <row r="892" spans="1:12" x14ac:dyDescent="0.3">
      <c r="A892" s="57" t="s">
        <v>1155</v>
      </c>
      <c r="B892" s="57" t="s">
        <v>255</v>
      </c>
      <c r="C892" s="57" t="s">
        <v>237</v>
      </c>
      <c r="D892" s="57" t="s">
        <v>146</v>
      </c>
      <c r="E892" s="57" t="s">
        <v>256</v>
      </c>
      <c r="F892">
        <v>5</v>
      </c>
      <c r="G892">
        <v>7000</v>
      </c>
      <c r="H892" s="11">
        <v>45423</v>
      </c>
      <c r="I892" s="57" t="s">
        <v>92</v>
      </c>
      <c r="J892" s="57" t="s">
        <v>248</v>
      </c>
      <c r="K892" s="57" t="s">
        <v>253</v>
      </c>
      <c r="L892" t="s">
        <v>243</v>
      </c>
    </row>
    <row r="893" spans="1:12" x14ac:dyDescent="0.3">
      <c r="A893" s="57" t="s">
        <v>1156</v>
      </c>
      <c r="B893" s="57" t="s">
        <v>255</v>
      </c>
      <c r="C893" s="57" t="s">
        <v>237</v>
      </c>
      <c r="D893" s="57" t="s">
        <v>144</v>
      </c>
      <c r="E893" s="57" t="s">
        <v>256</v>
      </c>
      <c r="F893">
        <v>10</v>
      </c>
      <c r="G893">
        <v>7000</v>
      </c>
      <c r="H893" s="11">
        <v>45316</v>
      </c>
      <c r="I893" s="57" t="s">
        <v>291</v>
      </c>
      <c r="J893" s="57" t="s">
        <v>145</v>
      </c>
      <c r="K893" s="57" t="s">
        <v>264</v>
      </c>
      <c r="L893" t="s">
        <v>243</v>
      </c>
    </row>
    <row r="894" spans="1:12" x14ac:dyDescent="0.3">
      <c r="A894" s="57" t="s">
        <v>1157</v>
      </c>
      <c r="B894" s="57" t="s">
        <v>247</v>
      </c>
      <c r="C894" s="57" t="s">
        <v>237</v>
      </c>
      <c r="D894" s="57" t="s">
        <v>153</v>
      </c>
      <c r="E894" s="57" t="s">
        <v>256</v>
      </c>
      <c r="F894">
        <v>4</v>
      </c>
      <c r="G894">
        <v>3357</v>
      </c>
      <c r="H894" s="11">
        <v>45447</v>
      </c>
      <c r="I894" s="57" t="s">
        <v>291</v>
      </c>
      <c r="J894" s="57" t="s">
        <v>145</v>
      </c>
      <c r="K894" s="57" t="s">
        <v>238</v>
      </c>
      <c r="L894" t="s">
        <v>258</v>
      </c>
    </row>
    <row r="895" spans="1:12" x14ac:dyDescent="0.3">
      <c r="A895" s="57" t="s">
        <v>1158</v>
      </c>
      <c r="B895" s="57" t="s">
        <v>245</v>
      </c>
      <c r="C895" s="57" t="s">
        <v>237</v>
      </c>
      <c r="D895" s="57" t="s">
        <v>152</v>
      </c>
      <c r="E895" s="57" t="s">
        <v>142</v>
      </c>
      <c r="F895">
        <v>10</v>
      </c>
      <c r="G895">
        <v>7000</v>
      </c>
      <c r="H895" s="11">
        <v>45364</v>
      </c>
      <c r="I895" s="57" t="s">
        <v>89</v>
      </c>
      <c r="J895" s="57" t="s">
        <v>150</v>
      </c>
      <c r="K895" s="57" t="s">
        <v>239</v>
      </c>
      <c r="L895" t="s">
        <v>243</v>
      </c>
    </row>
    <row r="896" spans="1:12" x14ac:dyDescent="0.3">
      <c r="A896" s="57" t="s">
        <v>1159</v>
      </c>
      <c r="B896" s="57" t="s">
        <v>247</v>
      </c>
      <c r="C896" s="57" t="s">
        <v>237</v>
      </c>
      <c r="D896" s="57" t="s">
        <v>238</v>
      </c>
      <c r="E896" s="57" t="s">
        <v>142</v>
      </c>
      <c r="F896">
        <v>7</v>
      </c>
      <c r="G896">
        <v>5900</v>
      </c>
      <c r="H896" s="11">
        <v>45608</v>
      </c>
      <c r="I896" s="57" t="s">
        <v>257</v>
      </c>
      <c r="J896" s="57" t="s">
        <v>143</v>
      </c>
      <c r="K896" s="57" t="s">
        <v>197</v>
      </c>
      <c r="L896" t="s">
        <v>240</v>
      </c>
    </row>
    <row r="897" spans="1:12" x14ac:dyDescent="0.3">
      <c r="A897" s="57" t="s">
        <v>1160</v>
      </c>
      <c r="B897" s="57" t="s">
        <v>268</v>
      </c>
      <c r="C897" s="57" t="s">
        <v>269</v>
      </c>
      <c r="D897" s="57" t="s">
        <v>151</v>
      </c>
      <c r="E897" s="57" t="s">
        <v>256</v>
      </c>
      <c r="F897">
        <v>10</v>
      </c>
      <c r="G897">
        <v>7000</v>
      </c>
      <c r="H897" s="11">
        <v>45002</v>
      </c>
      <c r="I897" s="57" t="s">
        <v>291</v>
      </c>
      <c r="J897" s="57" t="s">
        <v>248</v>
      </c>
      <c r="K897" s="57" t="s">
        <v>238</v>
      </c>
      <c r="L897" t="s">
        <v>243</v>
      </c>
    </row>
    <row r="898" spans="1:12" x14ac:dyDescent="0.3">
      <c r="A898" s="57" t="s">
        <v>1161</v>
      </c>
      <c r="B898" s="57" t="s">
        <v>255</v>
      </c>
      <c r="C898" s="57" t="s">
        <v>237</v>
      </c>
      <c r="D898" s="57" t="s">
        <v>141</v>
      </c>
      <c r="E898" s="57" t="s">
        <v>149</v>
      </c>
      <c r="F898">
        <v>5</v>
      </c>
      <c r="G898">
        <v>3777</v>
      </c>
      <c r="H898" s="11">
        <v>45477</v>
      </c>
      <c r="I898" s="57" t="s">
        <v>291</v>
      </c>
      <c r="J898" s="57" t="s">
        <v>143</v>
      </c>
      <c r="K898" s="57" t="s">
        <v>264</v>
      </c>
      <c r="L898" t="s">
        <v>258</v>
      </c>
    </row>
    <row r="899" spans="1:12" x14ac:dyDescent="0.3">
      <c r="A899" s="57" t="s">
        <v>1162</v>
      </c>
      <c r="B899" s="57" t="s">
        <v>275</v>
      </c>
      <c r="C899" s="57" t="s">
        <v>276</v>
      </c>
      <c r="D899" s="57" t="s">
        <v>146</v>
      </c>
      <c r="E899" s="57" t="s">
        <v>256</v>
      </c>
      <c r="F899">
        <v>0</v>
      </c>
      <c r="G899">
        <v>5900</v>
      </c>
      <c r="H899" s="11">
        <v>45338</v>
      </c>
      <c r="I899" s="57" t="s">
        <v>257</v>
      </c>
      <c r="J899" s="57" t="s">
        <v>147</v>
      </c>
      <c r="K899" s="57" t="s">
        <v>249</v>
      </c>
      <c r="L899" t="s">
        <v>240</v>
      </c>
    </row>
    <row r="900" spans="1:12" x14ac:dyDescent="0.3">
      <c r="A900" s="57" t="s">
        <v>1163</v>
      </c>
      <c r="B900" s="57" t="s">
        <v>262</v>
      </c>
      <c r="C900" s="57" t="s">
        <v>263</v>
      </c>
      <c r="D900" s="57" t="s">
        <v>151</v>
      </c>
      <c r="E900" s="57" t="s">
        <v>252</v>
      </c>
      <c r="F900">
        <v>6</v>
      </c>
      <c r="G900">
        <v>5900</v>
      </c>
      <c r="H900" s="11">
        <v>45443</v>
      </c>
      <c r="I900" s="57" t="s">
        <v>266</v>
      </c>
      <c r="J900" s="57" t="s">
        <v>143</v>
      </c>
      <c r="K900" s="57" t="s">
        <v>238</v>
      </c>
      <c r="L900" t="s">
        <v>240</v>
      </c>
    </row>
    <row r="901" spans="1:12" x14ac:dyDescent="0.3">
      <c r="A901" s="57" t="s">
        <v>1164</v>
      </c>
      <c r="B901" s="57" t="s">
        <v>247</v>
      </c>
      <c r="C901" s="57" t="s">
        <v>237</v>
      </c>
      <c r="D901" s="57" t="s">
        <v>238</v>
      </c>
      <c r="E901" s="57" t="s">
        <v>260</v>
      </c>
      <c r="F901">
        <v>7</v>
      </c>
      <c r="G901">
        <v>1277</v>
      </c>
      <c r="H901" s="11">
        <v>45298</v>
      </c>
      <c r="I901" s="57" t="s">
        <v>92</v>
      </c>
      <c r="J901" s="57" t="s">
        <v>248</v>
      </c>
      <c r="K901" s="57" t="s">
        <v>253</v>
      </c>
      <c r="L901" t="s">
        <v>258</v>
      </c>
    </row>
    <row r="902" spans="1:12" x14ac:dyDescent="0.3">
      <c r="A902" s="57" t="s">
        <v>1165</v>
      </c>
      <c r="B902" s="57" t="s">
        <v>273</v>
      </c>
      <c r="C902" s="57" t="s">
        <v>237</v>
      </c>
      <c r="D902" s="57" t="s">
        <v>152</v>
      </c>
      <c r="E902" s="57" t="s">
        <v>256</v>
      </c>
      <c r="F902">
        <v>7</v>
      </c>
      <c r="G902">
        <v>7000</v>
      </c>
      <c r="H902" s="11">
        <v>45150</v>
      </c>
      <c r="I902" s="57" t="s">
        <v>92</v>
      </c>
      <c r="J902" s="57" t="s">
        <v>147</v>
      </c>
      <c r="K902" s="57" t="s">
        <v>253</v>
      </c>
      <c r="L902" t="s">
        <v>243</v>
      </c>
    </row>
    <row r="903" spans="1:12" x14ac:dyDescent="0.3">
      <c r="A903" s="57" t="s">
        <v>1166</v>
      </c>
      <c r="B903" s="57" t="s">
        <v>273</v>
      </c>
      <c r="C903" s="57" t="s">
        <v>237</v>
      </c>
      <c r="D903" s="57" t="s">
        <v>141</v>
      </c>
      <c r="E903" s="57" t="s">
        <v>142</v>
      </c>
      <c r="F903">
        <v>5</v>
      </c>
      <c r="G903">
        <v>5900</v>
      </c>
      <c r="H903" s="11">
        <v>45541</v>
      </c>
      <c r="I903" s="57" t="s">
        <v>89</v>
      </c>
      <c r="J903" s="57" t="s">
        <v>147</v>
      </c>
      <c r="K903" s="57" t="s">
        <v>249</v>
      </c>
      <c r="L903" t="s">
        <v>240</v>
      </c>
    </row>
    <row r="904" spans="1:12" x14ac:dyDescent="0.3">
      <c r="A904" s="57" t="s">
        <v>1167</v>
      </c>
      <c r="B904" s="57" t="s">
        <v>236</v>
      </c>
      <c r="C904" s="57" t="s">
        <v>237</v>
      </c>
      <c r="D904" s="57" t="s">
        <v>141</v>
      </c>
      <c r="E904" s="57" t="s">
        <v>260</v>
      </c>
      <c r="F904">
        <v>10</v>
      </c>
      <c r="G904">
        <v>3464</v>
      </c>
      <c r="H904" s="11">
        <v>45269</v>
      </c>
      <c r="I904" s="57" t="s">
        <v>95</v>
      </c>
      <c r="J904" s="57" t="s">
        <v>145</v>
      </c>
      <c r="K904" s="57" t="s">
        <v>238</v>
      </c>
      <c r="L904" t="s">
        <v>258</v>
      </c>
    </row>
    <row r="905" spans="1:12" x14ac:dyDescent="0.3">
      <c r="A905" s="57" t="s">
        <v>1168</v>
      </c>
      <c r="B905" s="57" t="s">
        <v>255</v>
      </c>
      <c r="C905" s="57" t="s">
        <v>237</v>
      </c>
      <c r="D905" s="57" t="s">
        <v>153</v>
      </c>
      <c r="E905" s="57" t="s">
        <v>260</v>
      </c>
      <c r="F905">
        <v>5</v>
      </c>
      <c r="G905">
        <v>7000</v>
      </c>
      <c r="H905" s="11">
        <v>45316</v>
      </c>
      <c r="I905" s="57" t="s">
        <v>89</v>
      </c>
      <c r="J905" s="57" t="s">
        <v>248</v>
      </c>
      <c r="K905" s="57" t="s">
        <v>238</v>
      </c>
      <c r="L905" t="s">
        <v>243</v>
      </c>
    </row>
    <row r="906" spans="1:12" x14ac:dyDescent="0.3">
      <c r="A906" s="57" t="s">
        <v>1169</v>
      </c>
      <c r="B906" s="57" t="s">
        <v>268</v>
      </c>
      <c r="C906" s="57" t="s">
        <v>269</v>
      </c>
      <c r="D906" s="57" t="s">
        <v>144</v>
      </c>
      <c r="E906" s="57" t="s">
        <v>252</v>
      </c>
      <c r="F906">
        <v>5</v>
      </c>
      <c r="G906">
        <v>3475</v>
      </c>
      <c r="H906" s="11">
        <v>45421</v>
      </c>
      <c r="I906" s="57" t="s">
        <v>100</v>
      </c>
      <c r="J906" s="57" t="s">
        <v>145</v>
      </c>
      <c r="K906" s="57" t="s">
        <v>238</v>
      </c>
      <c r="L906" t="s">
        <v>258</v>
      </c>
    </row>
    <row r="907" spans="1:12" x14ac:dyDescent="0.3">
      <c r="A907" s="57" t="s">
        <v>1170</v>
      </c>
      <c r="B907" s="57" t="s">
        <v>262</v>
      </c>
      <c r="C907" s="57" t="s">
        <v>263</v>
      </c>
      <c r="D907" s="57" t="s">
        <v>144</v>
      </c>
      <c r="E907" s="57" t="s">
        <v>260</v>
      </c>
      <c r="F907">
        <v>10</v>
      </c>
      <c r="G907">
        <v>5900</v>
      </c>
      <c r="H907" s="11">
        <v>45002</v>
      </c>
      <c r="I907" s="57" t="s">
        <v>291</v>
      </c>
      <c r="J907" s="57" t="s">
        <v>145</v>
      </c>
      <c r="K907" s="57" t="s">
        <v>264</v>
      </c>
      <c r="L907" t="s">
        <v>240</v>
      </c>
    </row>
    <row r="908" spans="1:12" x14ac:dyDescent="0.3">
      <c r="A908" s="57" t="s">
        <v>1171</v>
      </c>
      <c r="B908" s="57" t="s">
        <v>255</v>
      </c>
      <c r="C908" s="57" t="s">
        <v>237</v>
      </c>
      <c r="D908" s="57" t="s">
        <v>238</v>
      </c>
      <c r="E908" s="57" t="s">
        <v>256</v>
      </c>
      <c r="F908">
        <v>10</v>
      </c>
      <c r="G908">
        <v>223</v>
      </c>
      <c r="H908" s="11">
        <v>45094</v>
      </c>
      <c r="I908" s="57" t="s">
        <v>92</v>
      </c>
      <c r="J908" s="57" t="s">
        <v>150</v>
      </c>
      <c r="K908" s="57" t="s">
        <v>197</v>
      </c>
      <c r="L908" t="s">
        <v>302</v>
      </c>
    </row>
    <row r="909" spans="1:12" x14ac:dyDescent="0.3">
      <c r="A909" s="57" t="s">
        <v>1172</v>
      </c>
      <c r="B909" s="57" t="s">
        <v>251</v>
      </c>
      <c r="C909" s="57" t="s">
        <v>237</v>
      </c>
      <c r="D909" s="57" t="s">
        <v>151</v>
      </c>
      <c r="E909" s="57" t="s">
        <v>252</v>
      </c>
      <c r="F909">
        <v>1</v>
      </c>
      <c r="G909">
        <v>7000</v>
      </c>
      <c r="H909" s="11">
        <v>45266</v>
      </c>
      <c r="I909" s="57" t="s">
        <v>89</v>
      </c>
      <c r="J909" s="57" t="s">
        <v>150</v>
      </c>
      <c r="K909" s="57" t="s">
        <v>239</v>
      </c>
      <c r="L909" t="s">
        <v>243</v>
      </c>
    </row>
    <row r="910" spans="1:12" x14ac:dyDescent="0.3">
      <c r="A910" s="57" t="s">
        <v>1173</v>
      </c>
      <c r="B910" s="57" t="s">
        <v>251</v>
      </c>
      <c r="C910" s="57" t="s">
        <v>237</v>
      </c>
      <c r="D910" s="57" t="s">
        <v>238</v>
      </c>
      <c r="E910" s="57" t="s">
        <v>256</v>
      </c>
      <c r="F910">
        <v>10</v>
      </c>
      <c r="G910">
        <v>7000</v>
      </c>
      <c r="H910" s="11">
        <v>45547</v>
      </c>
      <c r="I910" s="57" t="s">
        <v>89</v>
      </c>
      <c r="J910" s="57" t="s">
        <v>248</v>
      </c>
      <c r="K910" s="57" t="s">
        <v>238</v>
      </c>
      <c r="L910" t="s">
        <v>243</v>
      </c>
    </row>
    <row r="911" spans="1:12" x14ac:dyDescent="0.3">
      <c r="A911" s="57" t="s">
        <v>1174</v>
      </c>
      <c r="B911" s="57" t="s">
        <v>251</v>
      </c>
      <c r="C911" s="57" t="s">
        <v>237</v>
      </c>
      <c r="D911" s="57" t="s">
        <v>238</v>
      </c>
      <c r="E911" s="57" t="s">
        <v>149</v>
      </c>
      <c r="F911">
        <v>7</v>
      </c>
      <c r="G911">
        <v>7000</v>
      </c>
      <c r="H911" s="11">
        <v>45404</v>
      </c>
      <c r="I911" s="57" t="s">
        <v>291</v>
      </c>
      <c r="J911" s="57" t="s">
        <v>147</v>
      </c>
      <c r="K911" s="57" t="s">
        <v>197</v>
      </c>
      <c r="L911" t="s">
        <v>243</v>
      </c>
    </row>
    <row r="912" spans="1:12" x14ac:dyDescent="0.3">
      <c r="A912" s="57" t="s">
        <v>1175</v>
      </c>
      <c r="B912" s="57" t="s">
        <v>236</v>
      </c>
      <c r="C912" s="57" t="s">
        <v>237</v>
      </c>
      <c r="D912" s="57" t="s">
        <v>146</v>
      </c>
      <c r="E912" s="57" t="s">
        <v>142</v>
      </c>
      <c r="F912">
        <v>7</v>
      </c>
      <c r="G912">
        <v>4037</v>
      </c>
      <c r="H912" s="11">
        <v>45428</v>
      </c>
      <c r="I912" s="57" t="s">
        <v>242</v>
      </c>
      <c r="J912" s="57" t="s">
        <v>248</v>
      </c>
      <c r="K912" s="57" t="s">
        <v>239</v>
      </c>
      <c r="L912" t="s">
        <v>240</v>
      </c>
    </row>
    <row r="913" spans="1:12" x14ac:dyDescent="0.3">
      <c r="A913" s="57" t="s">
        <v>1176</v>
      </c>
      <c r="B913" s="57" t="s">
        <v>273</v>
      </c>
      <c r="C913" s="57" t="s">
        <v>237</v>
      </c>
      <c r="D913" s="57" t="s">
        <v>141</v>
      </c>
      <c r="E913" s="57" t="s">
        <v>149</v>
      </c>
      <c r="F913">
        <v>7</v>
      </c>
      <c r="G913">
        <v>5900</v>
      </c>
      <c r="H913" s="11">
        <v>45277</v>
      </c>
      <c r="I913" s="57" t="s">
        <v>266</v>
      </c>
      <c r="J913" s="57" t="s">
        <v>248</v>
      </c>
      <c r="K913" s="57" t="s">
        <v>249</v>
      </c>
      <c r="L913" t="s">
        <v>240</v>
      </c>
    </row>
    <row r="914" spans="1:12" x14ac:dyDescent="0.3">
      <c r="A914" s="57" t="s">
        <v>1177</v>
      </c>
      <c r="B914" s="57" t="s">
        <v>268</v>
      </c>
      <c r="C914" s="57" t="s">
        <v>269</v>
      </c>
      <c r="D914" s="57" t="s">
        <v>153</v>
      </c>
      <c r="E914" s="57" t="s">
        <v>142</v>
      </c>
      <c r="F914">
        <v>10</v>
      </c>
      <c r="G914">
        <v>4170</v>
      </c>
      <c r="H914" s="11">
        <v>45384</v>
      </c>
      <c r="I914" s="57" t="s">
        <v>89</v>
      </c>
      <c r="J914" s="57" t="s">
        <v>150</v>
      </c>
      <c r="K914" s="57" t="s">
        <v>264</v>
      </c>
      <c r="L914" t="s">
        <v>240</v>
      </c>
    </row>
    <row r="915" spans="1:12" x14ac:dyDescent="0.3">
      <c r="A915" s="57" t="s">
        <v>1178</v>
      </c>
      <c r="B915" s="57" t="s">
        <v>275</v>
      </c>
      <c r="C915" s="57" t="s">
        <v>276</v>
      </c>
      <c r="D915" s="57" t="s">
        <v>141</v>
      </c>
      <c r="E915" s="57" t="s">
        <v>149</v>
      </c>
      <c r="F915">
        <v>5</v>
      </c>
      <c r="G915">
        <v>7000</v>
      </c>
      <c r="H915" s="11">
        <v>45131</v>
      </c>
      <c r="I915" s="57" t="s">
        <v>92</v>
      </c>
      <c r="J915" s="57" t="s">
        <v>147</v>
      </c>
      <c r="K915" s="57" t="s">
        <v>197</v>
      </c>
      <c r="L915" t="s">
        <v>243</v>
      </c>
    </row>
    <row r="916" spans="1:12" x14ac:dyDescent="0.3">
      <c r="A916" s="57" t="s">
        <v>1179</v>
      </c>
      <c r="B916" s="57" t="s">
        <v>251</v>
      </c>
      <c r="C916" s="57" t="s">
        <v>237</v>
      </c>
      <c r="D916" s="57" t="s">
        <v>151</v>
      </c>
      <c r="E916" s="57" t="s">
        <v>142</v>
      </c>
      <c r="F916">
        <v>10</v>
      </c>
      <c r="G916">
        <v>3782</v>
      </c>
      <c r="H916" s="11">
        <v>45606</v>
      </c>
      <c r="I916" s="57" t="s">
        <v>266</v>
      </c>
      <c r="J916" s="57" t="s">
        <v>145</v>
      </c>
      <c r="K916" s="57" t="s">
        <v>264</v>
      </c>
      <c r="L916" t="s">
        <v>258</v>
      </c>
    </row>
    <row r="917" spans="1:12" x14ac:dyDescent="0.3">
      <c r="A917" s="57" t="s">
        <v>1180</v>
      </c>
      <c r="B917" s="57" t="s">
        <v>195</v>
      </c>
      <c r="C917" s="57" t="s">
        <v>196</v>
      </c>
      <c r="D917" s="57" t="s">
        <v>238</v>
      </c>
      <c r="E917" s="57" t="s">
        <v>260</v>
      </c>
      <c r="F917">
        <v>0</v>
      </c>
      <c r="G917">
        <v>7000</v>
      </c>
      <c r="H917" s="11">
        <v>45223</v>
      </c>
      <c r="I917" s="57" t="s">
        <v>257</v>
      </c>
      <c r="J917" s="57" t="s">
        <v>145</v>
      </c>
      <c r="K917" s="57" t="s">
        <v>249</v>
      </c>
      <c r="L917" t="s">
        <v>243</v>
      </c>
    </row>
    <row r="918" spans="1:12" x14ac:dyDescent="0.3">
      <c r="A918" s="57" t="s">
        <v>1181</v>
      </c>
      <c r="B918" s="57" t="s">
        <v>251</v>
      </c>
      <c r="C918" s="57" t="s">
        <v>237</v>
      </c>
      <c r="D918" s="57" t="s">
        <v>238</v>
      </c>
      <c r="E918" s="57" t="s">
        <v>142</v>
      </c>
      <c r="F918">
        <v>7</v>
      </c>
      <c r="G918">
        <v>5900</v>
      </c>
      <c r="H918" s="11">
        <v>45330</v>
      </c>
      <c r="I918" s="57" t="s">
        <v>257</v>
      </c>
      <c r="J918" s="57" t="s">
        <v>145</v>
      </c>
      <c r="K918" s="57" t="s">
        <v>264</v>
      </c>
      <c r="L918" t="s">
        <v>240</v>
      </c>
    </row>
    <row r="919" spans="1:12" x14ac:dyDescent="0.3">
      <c r="A919" s="57" t="s">
        <v>1182</v>
      </c>
      <c r="B919" s="57" t="s">
        <v>255</v>
      </c>
      <c r="C919" s="57" t="s">
        <v>237</v>
      </c>
      <c r="D919" s="57" t="s">
        <v>146</v>
      </c>
      <c r="E919" s="57" t="s">
        <v>149</v>
      </c>
      <c r="F919">
        <v>0</v>
      </c>
      <c r="G919">
        <v>7000</v>
      </c>
      <c r="H919" s="11">
        <v>44936</v>
      </c>
      <c r="I919" s="57" t="s">
        <v>291</v>
      </c>
      <c r="J919" s="57" t="s">
        <v>147</v>
      </c>
      <c r="K919" s="57" t="s">
        <v>238</v>
      </c>
      <c r="L919" t="s">
        <v>243</v>
      </c>
    </row>
    <row r="920" spans="1:12" x14ac:dyDescent="0.3">
      <c r="A920" s="57" t="s">
        <v>1183</v>
      </c>
      <c r="B920" s="57" t="s">
        <v>273</v>
      </c>
      <c r="C920" s="57" t="s">
        <v>237</v>
      </c>
      <c r="D920" s="57" t="s">
        <v>146</v>
      </c>
      <c r="E920" s="57" t="s">
        <v>149</v>
      </c>
      <c r="F920">
        <v>7</v>
      </c>
      <c r="G920">
        <v>5900</v>
      </c>
      <c r="H920" s="11">
        <v>45538</v>
      </c>
      <c r="I920" s="57" t="s">
        <v>89</v>
      </c>
      <c r="J920" s="57" t="s">
        <v>248</v>
      </c>
      <c r="K920" s="57" t="s">
        <v>239</v>
      </c>
      <c r="L920" t="s">
        <v>240</v>
      </c>
    </row>
    <row r="921" spans="1:12" x14ac:dyDescent="0.3">
      <c r="A921" s="57" t="s">
        <v>1184</v>
      </c>
      <c r="B921" s="57" t="s">
        <v>275</v>
      </c>
      <c r="C921" s="57" t="s">
        <v>276</v>
      </c>
      <c r="D921" s="57" t="s">
        <v>146</v>
      </c>
      <c r="E921" s="57" t="s">
        <v>142</v>
      </c>
      <c r="F921">
        <v>9</v>
      </c>
      <c r="G921">
        <v>7000</v>
      </c>
      <c r="H921" s="11">
        <v>45483</v>
      </c>
      <c r="I921" s="57" t="s">
        <v>291</v>
      </c>
      <c r="J921" s="57" t="s">
        <v>145</v>
      </c>
      <c r="K921" s="57" t="s">
        <v>238</v>
      </c>
      <c r="L921" t="s">
        <v>243</v>
      </c>
    </row>
    <row r="922" spans="1:12" x14ac:dyDescent="0.3">
      <c r="A922" s="57" t="s">
        <v>1185</v>
      </c>
      <c r="B922" s="57" t="s">
        <v>255</v>
      </c>
      <c r="C922" s="57" t="s">
        <v>237</v>
      </c>
      <c r="D922" s="57" t="s">
        <v>153</v>
      </c>
      <c r="E922" s="57" t="s">
        <v>149</v>
      </c>
      <c r="F922">
        <v>0</v>
      </c>
      <c r="G922">
        <v>2196</v>
      </c>
      <c r="H922" s="11">
        <v>45267</v>
      </c>
      <c r="I922" s="57" t="s">
        <v>242</v>
      </c>
      <c r="J922" s="57" t="s">
        <v>143</v>
      </c>
      <c r="K922" s="57" t="s">
        <v>253</v>
      </c>
      <c r="L922" t="s">
        <v>258</v>
      </c>
    </row>
    <row r="923" spans="1:12" x14ac:dyDescent="0.3">
      <c r="A923" s="57" t="s">
        <v>1186</v>
      </c>
      <c r="B923" s="57" t="s">
        <v>268</v>
      </c>
      <c r="C923" s="57" t="s">
        <v>269</v>
      </c>
      <c r="D923" s="57" t="s">
        <v>152</v>
      </c>
      <c r="E923" s="57" t="s">
        <v>256</v>
      </c>
      <c r="F923">
        <v>7</v>
      </c>
      <c r="G923">
        <v>4245</v>
      </c>
      <c r="H923" s="11">
        <v>44938</v>
      </c>
      <c r="I923" s="57" t="s">
        <v>100</v>
      </c>
      <c r="J923" s="57" t="s">
        <v>145</v>
      </c>
      <c r="K923" s="57" t="s">
        <v>239</v>
      </c>
      <c r="L923" t="s">
        <v>240</v>
      </c>
    </row>
    <row r="924" spans="1:12" x14ac:dyDescent="0.3">
      <c r="A924" s="57" t="s">
        <v>1187</v>
      </c>
      <c r="B924" s="57" t="s">
        <v>236</v>
      </c>
      <c r="C924" s="57" t="s">
        <v>237</v>
      </c>
      <c r="D924" s="57" t="s">
        <v>148</v>
      </c>
      <c r="E924" s="57" t="s">
        <v>256</v>
      </c>
      <c r="F924">
        <v>7</v>
      </c>
      <c r="G924">
        <v>2486</v>
      </c>
      <c r="H924" s="11">
        <v>44938</v>
      </c>
      <c r="I924" s="57" t="s">
        <v>291</v>
      </c>
      <c r="J924" s="57" t="s">
        <v>145</v>
      </c>
      <c r="K924" s="57" t="s">
        <v>239</v>
      </c>
      <c r="L924" t="s">
        <v>258</v>
      </c>
    </row>
    <row r="925" spans="1:12" x14ac:dyDescent="0.3">
      <c r="A925" s="57" t="s">
        <v>1188</v>
      </c>
      <c r="B925" s="57" t="s">
        <v>245</v>
      </c>
      <c r="C925" s="57" t="s">
        <v>237</v>
      </c>
      <c r="D925" s="57" t="s">
        <v>146</v>
      </c>
      <c r="E925" s="57" t="s">
        <v>260</v>
      </c>
      <c r="F925">
        <v>1</v>
      </c>
      <c r="G925">
        <v>7000</v>
      </c>
      <c r="H925" s="11">
        <v>45610</v>
      </c>
      <c r="I925" s="57" t="s">
        <v>242</v>
      </c>
      <c r="J925" s="57" t="s">
        <v>145</v>
      </c>
      <c r="K925" s="57" t="s">
        <v>238</v>
      </c>
      <c r="L925" t="s">
        <v>243</v>
      </c>
    </row>
    <row r="926" spans="1:12" x14ac:dyDescent="0.3">
      <c r="A926" s="57" t="s">
        <v>1189</v>
      </c>
      <c r="B926" s="57" t="s">
        <v>247</v>
      </c>
      <c r="C926" s="57" t="s">
        <v>237</v>
      </c>
      <c r="D926" s="57" t="s">
        <v>151</v>
      </c>
      <c r="E926" s="57" t="s">
        <v>260</v>
      </c>
      <c r="F926">
        <v>0</v>
      </c>
      <c r="G926">
        <v>5900</v>
      </c>
      <c r="H926" s="11">
        <v>45049</v>
      </c>
      <c r="I926" s="57" t="s">
        <v>92</v>
      </c>
      <c r="J926" s="57" t="s">
        <v>248</v>
      </c>
      <c r="K926" s="57" t="s">
        <v>239</v>
      </c>
      <c r="L926" t="s">
        <v>240</v>
      </c>
    </row>
    <row r="927" spans="1:12" x14ac:dyDescent="0.3">
      <c r="A927" s="57" t="s">
        <v>1190</v>
      </c>
      <c r="B927" s="57" t="s">
        <v>195</v>
      </c>
      <c r="C927" s="57" t="s">
        <v>196</v>
      </c>
      <c r="D927" s="57" t="s">
        <v>146</v>
      </c>
      <c r="E927" s="57" t="s">
        <v>260</v>
      </c>
      <c r="F927">
        <v>10</v>
      </c>
      <c r="G927">
        <v>5900</v>
      </c>
      <c r="H927" s="11">
        <v>45052</v>
      </c>
      <c r="I927" s="57" t="s">
        <v>266</v>
      </c>
      <c r="J927" s="57" t="s">
        <v>147</v>
      </c>
      <c r="K927" s="57" t="s">
        <v>249</v>
      </c>
      <c r="L927" t="s">
        <v>240</v>
      </c>
    </row>
    <row r="928" spans="1:12" x14ac:dyDescent="0.3">
      <c r="A928" s="57" t="s">
        <v>1191</v>
      </c>
      <c r="B928" s="57" t="s">
        <v>195</v>
      </c>
      <c r="C928" s="57" t="s">
        <v>196</v>
      </c>
      <c r="D928" s="57" t="s">
        <v>146</v>
      </c>
      <c r="E928" s="57" t="s">
        <v>260</v>
      </c>
      <c r="F928">
        <v>0</v>
      </c>
      <c r="G928">
        <v>5900</v>
      </c>
      <c r="H928" s="11">
        <v>45066</v>
      </c>
      <c r="I928" s="57" t="s">
        <v>100</v>
      </c>
      <c r="J928" s="57" t="s">
        <v>145</v>
      </c>
      <c r="K928" s="57" t="s">
        <v>238</v>
      </c>
      <c r="L928" t="s">
        <v>240</v>
      </c>
    </row>
    <row r="929" spans="1:12" x14ac:dyDescent="0.3">
      <c r="A929" s="57" t="s">
        <v>1192</v>
      </c>
      <c r="B929" s="57" t="s">
        <v>275</v>
      </c>
      <c r="C929" s="57" t="s">
        <v>276</v>
      </c>
      <c r="D929" s="57" t="s">
        <v>238</v>
      </c>
      <c r="E929" s="57" t="s">
        <v>256</v>
      </c>
      <c r="F929">
        <v>0</v>
      </c>
      <c r="G929">
        <v>5900</v>
      </c>
      <c r="H929" s="11">
        <v>45279</v>
      </c>
      <c r="I929" s="57" t="s">
        <v>89</v>
      </c>
      <c r="J929" s="57" t="s">
        <v>147</v>
      </c>
      <c r="K929" s="57" t="s">
        <v>239</v>
      </c>
      <c r="L929" t="s">
        <v>240</v>
      </c>
    </row>
    <row r="930" spans="1:12" x14ac:dyDescent="0.3">
      <c r="A930" s="57" t="s">
        <v>1193</v>
      </c>
      <c r="B930" s="57" t="s">
        <v>273</v>
      </c>
      <c r="C930" s="57" t="s">
        <v>237</v>
      </c>
      <c r="D930" s="57" t="s">
        <v>146</v>
      </c>
      <c r="E930" s="57" t="s">
        <v>149</v>
      </c>
      <c r="F930">
        <v>9</v>
      </c>
      <c r="G930">
        <v>7000</v>
      </c>
      <c r="H930" s="11">
        <v>45423</v>
      </c>
      <c r="I930" s="57" t="s">
        <v>266</v>
      </c>
      <c r="J930" s="57" t="s">
        <v>143</v>
      </c>
      <c r="K930" s="57" t="s">
        <v>253</v>
      </c>
      <c r="L930" t="s">
        <v>243</v>
      </c>
    </row>
    <row r="931" spans="1:12" x14ac:dyDescent="0.3">
      <c r="A931" s="57" t="s">
        <v>1194</v>
      </c>
      <c r="B931" s="57" t="s">
        <v>262</v>
      </c>
      <c r="C931" s="57" t="s">
        <v>263</v>
      </c>
      <c r="D931" s="57" t="s">
        <v>238</v>
      </c>
      <c r="E931" s="57" t="s">
        <v>149</v>
      </c>
      <c r="F931">
        <v>0</v>
      </c>
      <c r="G931">
        <v>7000</v>
      </c>
      <c r="H931" s="11">
        <v>45083</v>
      </c>
      <c r="I931" s="57" t="s">
        <v>92</v>
      </c>
      <c r="J931" s="57" t="s">
        <v>143</v>
      </c>
      <c r="K931" s="57" t="s">
        <v>238</v>
      </c>
      <c r="L931" t="s">
        <v>243</v>
      </c>
    </row>
    <row r="932" spans="1:12" x14ac:dyDescent="0.3">
      <c r="A932" s="57" t="s">
        <v>1195</v>
      </c>
      <c r="B932" s="57" t="s">
        <v>275</v>
      </c>
      <c r="C932" s="57" t="s">
        <v>276</v>
      </c>
      <c r="D932" s="57" t="s">
        <v>144</v>
      </c>
      <c r="E932" s="57" t="s">
        <v>256</v>
      </c>
      <c r="F932">
        <v>5</v>
      </c>
      <c r="G932">
        <v>7000</v>
      </c>
      <c r="H932" s="11">
        <v>45366</v>
      </c>
      <c r="I932" s="57" t="s">
        <v>100</v>
      </c>
      <c r="J932" s="57" t="s">
        <v>150</v>
      </c>
      <c r="K932" s="57" t="s">
        <v>249</v>
      </c>
      <c r="L932" t="s">
        <v>243</v>
      </c>
    </row>
    <row r="933" spans="1:12" x14ac:dyDescent="0.3">
      <c r="A933" s="57" t="s">
        <v>1196</v>
      </c>
      <c r="B933" s="57" t="s">
        <v>268</v>
      </c>
      <c r="C933" s="57" t="s">
        <v>269</v>
      </c>
      <c r="D933" s="57" t="s">
        <v>238</v>
      </c>
      <c r="E933" s="57" t="s">
        <v>252</v>
      </c>
      <c r="F933">
        <v>3</v>
      </c>
      <c r="G933">
        <v>5900</v>
      </c>
      <c r="H933" s="11">
        <v>44989</v>
      </c>
      <c r="I933" s="57" t="s">
        <v>95</v>
      </c>
      <c r="J933" s="57" t="s">
        <v>143</v>
      </c>
      <c r="K933" s="57" t="s">
        <v>239</v>
      </c>
      <c r="L933" t="s">
        <v>240</v>
      </c>
    </row>
    <row r="934" spans="1:12" x14ac:dyDescent="0.3">
      <c r="A934" s="57" t="s">
        <v>1197</v>
      </c>
      <c r="B934" s="57" t="s">
        <v>251</v>
      </c>
      <c r="C934" s="57" t="s">
        <v>237</v>
      </c>
      <c r="D934" s="57" t="s">
        <v>148</v>
      </c>
      <c r="E934" s="57" t="s">
        <v>256</v>
      </c>
      <c r="F934">
        <v>10</v>
      </c>
      <c r="G934">
        <v>7000</v>
      </c>
      <c r="H934" s="11">
        <v>44965</v>
      </c>
      <c r="I934" s="57" t="s">
        <v>291</v>
      </c>
      <c r="J934" s="57" t="s">
        <v>143</v>
      </c>
      <c r="K934" s="57" t="s">
        <v>239</v>
      </c>
      <c r="L934" t="s">
        <v>243</v>
      </c>
    </row>
    <row r="935" spans="1:12" x14ac:dyDescent="0.3">
      <c r="A935" s="57" t="s">
        <v>1198</v>
      </c>
      <c r="B935" s="57" t="s">
        <v>195</v>
      </c>
      <c r="C935" s="57" t="s">
        <v>196</v>
      </c>
      <c r="D935" s="57" t="s">
        <v>153</v>
      </c>
      <c r="E935" s="57" t="s">
        <v>142</v>
      </c>
      <c r="F935">
        <v>10</v>
      </c>
      <c r="G935">
        <v>7000</v>
      </c>
      <c r="H935" s="11">
        <v>45343</v>
      </c>
      <c r="I935" s="57" t="s">
        <v>92</v>
      </c>
      <c r="J935" s="57" t="s">
        <v>145</v>
      </c>
      <c r="K935" s="57" t="s">
        <v>239</v>
      </c>
      <c r="L935" t="s">
        <v>243</v>
      </c>
    </row>
    <row r="936" spans="1:12" x14ac:dyDescent="0.3">
      <c r="A936" s="57" t="s">
        <v>1199</v>
      </c>
      <c r="B936" s="57" t="s">
        <v>195</v>
      </c>
      <c r="C936" s="57" t="s">
        <v>196</v>
      </c>
      <c r="D936" s="57" t="s">
        <v>238</v>
      </c>
      <c r="E936" s="57" t="s">
        <v>252</v>
      </c>
      <c r="F936">
        <v>5</v>
      </c>
      <c r="G936">
        <v>115</v>
      </c>
      <c r="H936" s="11">
        <v>45556</v>
      </c>
      <c r="I936" s="57" t="s">
        <v>266</v>
      </c>
      <c r="J936" s="57" t="s">
        <v>143</v>
      </c>
      <c r="K936" s="57" t="s">
        <v>238</v>
      </c>
      <c r="L936" t="s">
        <v>302</v>
      </c>
    </row>
    <row r="937" spans="1:12" x14ac:dyDescent="0.3">
      <c r="A937" s="57" t="s">
        <v>1200</v>
      </c>
      <c r="B937" s="57" t="s">
        <v>273</v>
      </c>
      <c r="C937" s="57" t="s">
        <v>237</v>
      </c>
      <c r="D937" s="57" t="s">
        <v>148</v>
      </c>
      <c r="E937" s="57" t="s">
        <v>256</v>
      </c>
      <c r="F937">
        <v>10</v>
      </c>
      <c r="G937">
        <v>5900</v>
      </c>
      <c r="H937" s="11">
        <v>45417</v>
      </c>
      <c r="I937" s="57" t="s">
        <v>92</v>
      </c>
      <c r="J937" s="57" t="s">
        <v>150</v>
      </c>
      <c r="K937" s="57" t="s">
        <v>239</v>
      </c>
      <c r="L937" t="s">
        <v>240</v>
      </c>
    </row>
    <row r="938" spans="1:12" x14ac:dyDescent="0.3">
      <c r="A938" s="57" t="s">
        <v>1201</v>
      </c>
      <c r="B938" s="57" t="s">
        <v>275</v>
      </c>
      <c r="C938" s="57" t="s">
        <v>276</v>
      </c>
      <c r="D938" s="57" t="s">
        <v>238</v>
      </c>
      <c r="E938" s="57" t="s">
        <v>142</v>
      </c>
      <c r="F938">
        <v>10</v>
      </c>
      <c r="G938">
        <v>7000</v>
      </c>
      <c r="H938" s="11">
        <v>45444</v>
      </c>
      <c r="I938" s="57" t="s">
        <v>89</v>
      </c>
      <c r="J938" s="57" t="s">
        <v>150</v>
      </c>
      <c r="K938" s="57" t="s">
        <v>239</v>
      </c>
      <c r="L938" t="s">
        <v>243</v>
      </c>
    </row>
    <row r="939" spans="1:12" x14ac:dyDescent="0.3">
      <c r="A939" s="57" t="s">
        <v>1202</v>
      </c>
      <c r="B939" s="57" t="s">
        <v>195</v>
      </c>
      <c r="C939" s="57" t="s">
        <v>196</v>
      </c>
      <c r="D939" s="57" t="s">
        <v>148</v>
      </c>
      <c r="E939" s="57" t="s">
        <v>260</v>
      </c>
      <c r="F939">
        <v>5</v>
      </c>
      <c r="G939">
        <v>5900</v>
      </c>
      <c r="H939" s="11">
        <v>45152</v>
      </c>
      <c r="I939" s="57" t="s">
        <v>89</v>
      </c>
      <c r="J939" s="57" t="s">
        <v>248</v>
      </c>
      <c r="K939" s="57" t="s">
        <v>253</v>
      </c>
      <c r="L939" t="s">
        <v>240</v>
      </c>
    </row>
    <row r="940" spans="1:12" x14ac:dyDescent="0.3">
      <c r="A940" s="57" t="s">
        <v>1203</v>
      </c>
      <c r="B940" s="57" t="s">
        <v>251</v>
      </c>
      <c r="C940" s="57" t="s">
        <v>237</v>
      </c>
      <c r="D940" s="57" t="s">
        <v>144</v>
      </c>
      <c r="E940" s="57" t="s">
        <v>260</v>
      </c>
      <c r="F940">
        <v>5</v>
      </c>
      <c r="G940">
        <v>7000</v>
      </c>
      <c r="H940" s="11">
        <v>45052</v>
      </c>
      <c r="I940" s="57" t="s">
        <v>95</v>
      </c>
      <c r="J940" s="57" t="s">
        <v>147</v>
      </c>
      <c r="K940" s="57" t="s">
        <v>238</v>
      </c>
      <c r="L940" t="s">
        <v>243</v>
      </c>
    </row>
    <row r="941" spans="1:12" x14ac:dyDescent="0.3">
      <c r="A941" s="57" t="s">
        <v>1204</v>
      </c>
      <c r="B941" s="57" t="s">
        <v>245</v>
      </c>
      <c r="C941" s="57" t="s">
        <v>237</v>
      </c>
      <c r="D941" s="57" t="s">
        <v>141</v>
      </c>
      <c r="E941" s="57" t="s">
        <v>142</v>
      </c>
      <c r="F941">
        <v>7</v>
      </c>
      <c r="G941">
        <v>5900</v>
      </c>
      <c r="H941" s="11">
        <v>45359</v>
      </c>
      <c r="I941" s="57" t="s">
        <v>100</v>
      </c>
      <c r="J941" s="57" t="s">
        <v>145</v>
      </c>
      <c r="K941" s="57" t="s">
        <v>197</v>
      </c>
      <c r="L941" t="s">
        <v>240</v>
      </c>
    </row>
    <row r="942" spans="1:12" x14ac:dyDescent="0.3">
      <c r="A942" s="57" t="s">
        <v>1205</v>
      </c>
      <c r="B942" s="57" t="s">
        <v>247</v>
      </c>
      <c r="C942" s="57" t="s">
        <v>237</v>
      </c>
      <c r="D942" s="57" t="s">
        <v>146</v>
      </c>
      <c r="E942" s="57" t="s">
        <v>142</v>
      </c>
      <c r="F942">
        <v>7</v>
      </c>
      <c r="G942">
        <v>7000</v>
      </c>
      <c r="H942" s="11">
        <v>45595</v>
      </c>
      <c r="I942" s="57" t="s">
        <v>266</v>
      </c>
      <c r="J942" s="57" t="s">
        <v>145</v>
      </c>
      <c r="K942" s="57" t="s">
        <v>239</v>
      </c>
      <c r="L942" t="s">
        <v>243</v>
      </c>
    </row>
    <row r="943" spans="1:12" x14ac:dyDescent="0.3">
      <c r="A943" s="57" t="s">
        <v>1206</v>
      </c>
      <c r="B943" s="57" t="s">
        <v>273</v>
      </c>
      <c r="C943" s="57" t="s">
        <v>237</v>
      </c>
      <c r="D943" s="57" t="s">
        <v>141</v>
      </c>
      <c r="E943" s="57" t="s">
        <v>252</v>
      </c>
      <c r="F943">
        <v>7</v>
      </c>
      <c r="G943">
        <v>7000</v>
      </c>
      <c r="H943" s="11">
        <v>45278</v>
      </c>
      <c r="I943" s="57" t="s">
        <v>100</v>
      </c>
      <c r="J943" s="57" t="s">
        <v>248</v>
      </c>
      <c r="K943" s="57" t="s">
        <v>253</v>
      </c>
      <c r="L943" t="s">
        <v>243</v>
      </c>
    </row>
    <row r="944" spans="1:12" x14ac:dyDescent="0.3">
      <c r="A944" s="57" t="s">
        <v>1207</v>
      </c>
      <c r="B944" s="57" t="s">
        <v>245</v>
      </c>
      <c r="C944" s="57" t="s">
        <v>237</v>
      </c>
      <c r="D944" s="57" t="s">
        <v>146</v>
      </c>
      <c r="E944" s="57" t="s">
        <v>260</v>
      </c>
      <c r="F944">
        <v>5</v>
      </c>
      <c r="G944">
        <v>5900</v>
      </c>
      <c r="H944" s="11">
        <v>45266</v>
      </c>
      <c r="I944" s="57" t="s">
        <v>291</v>
      </c>
      <c r="J944" s="57" t="s">
        <v>248</v>
      </c>
      <c r="K944" s="57" t="s">
        <v>197</v>
      </c>
      <c r="L944" t="s">
        <v>240</v>
      </c>
    </row>
    <row r="945" spans="1:12" x14ac:dyDescent="0.3">
      <c r="A945" s="57" t="s">
        <v>1208</v>
      </c>
      <c r="B945" s="57" t="s">
        <v>236</v>
      </c>
      <c r="C945" s="57" t="s">
        <v>237</v>
      </c>
      <c r="D945" s="57" t="s">
        <v>148</v>
      </c>
      <c r="E945" s="57" t="s">
        <v>260</v>
      </c>
      <c r="F945">
        <v>7</v>
      </c>
      <c r="G945">
        <v>3876</v>
      </c>
      <c r="H945" s="11">
        <v>45332</v>
      </c>
      <c r="I945" s="57" t="s">
        <v>89</v>
      </c>
      <c r="J945" s="57" t="s">
        <v>147</v>
      </c>
      <c r="K945" s="57" t="s">
        <v>264</v>
      </c>
      <c r="L945" t="s">
        <v>258</v>
      </c>
    </row>
    <row r="946" spans="1:12" x14ac:dyDescent="0.3">
      <c r="A946" s="57" t="s">
        <v>1209</v>
      </c>
      <c r="B946" s="57" t="s">
        <v>245</v>
      </c>
      <c r="C946" s="57" t="s">
        <v>237</v>
      </c>
      <c r="D946" s="57" t="s">
        <v>151</v>
      </c>
      <c r="E946" s="57" t="s">
        <v>142</v>
      </c>
      <c r="F946">
        <v>0</v>
      </c>
      <c r="G946">
        <v>7000</v>
      </c>
      <c r="H946" s="11">
        <v>45477</v>
      </c>
      <c r="I946" s="57" t="s">
        <v>242</v>
      </c>
      <c r="J946" s="57" t="s">
        <v>143</v>
      </c>
      <c r="K946" s="57" t="s">
        <v>238</v>
      </c>
      <c r="L946" t="s">
        <v>243</v>
      </c>
    </row>
    <row r="947" spans="1:12" x14ac:dyDescent="0.3">
      <c r="A947" s="57" t="s">
        <v>1210</v>
      </c>
      <c r="B947" s="57" t="s">
        <v>245</v>
      </c>
      <c r="C947" s="57" t="s">
        <v>237</v>
      </c>
      <c r="D947" s="57" t="s">
        <v>144</v>
      </c>
      <c r="E947" s="57" t="s">
        <v>252</v>
      </c>
      <c r="F947">
        <v>2</v>
      </c>
      <c r="G947">
        <v>7000</v>
      </c>
      <c r="H947" s="11">
        <v>45108</v>
      </c>
      <c r="I947" s="57" t="s">
        <v>92</v>
      </c>
      <c r="J947" s="57" t="s">
        <v>143</v>
      </c>
      <c r="K947" s="57" t="s">
        <v>238</v>
      </c>
      <c r="L947" t="s">
        <v>243</v>
      </c>
    </row>
    <row r="948" spans="1:12" x14ac:dyDescent="0.3">
      <c r="A948" s="57" t="s">
        <v>1211</v>
      </c>
      <c r="B948" s="57" t="s">
        <v>273</v>
      </c>
      <c r="C948" s="57" t="s">
        <v>237</v>
      </c>
      <c r="D948" s="57" t="s">
        <v>151</v>
      </c>
      <c r="E948" s="57" t="s">
        <v>149</v>
      </c>
      <c r="F948">
        <v>5</v>
      </c>
      <c r="G948">
        <v>7000</v>
      </c>
      <c r="H948" s="11">
        <v>45299</v>
      </c>
      <c r="I948" s="57" t="s">
        <v>266</v>
      </c>
      <c r="J948" s="57" t="s">
        <v>143</v>
      </c>
      <c r="K948" s="57" t="s">
        <v>264</v>
      </c>
      <c r="L948" t="s">
        <v>243</v>
      </c>
    </row>
    <row r="949" spans="1:12" x14ac:dyDescent="0.3">
      <c r="A949" s="57" t="s">
        <v>1212</v>
      </c>
      <c r="B949" s="57" t="s">
        <v>195</v>
      </c>
      <c r="C949" s="57" t="s">
        <v>196</v>
      </c>
      <c r="D949" s="57" t="s">
        <v>238</v>
      </c>
      <c r="E949" s="57" t="s">
        <v>256</v>
      </c>
      <c r="F949">
        <v>10</v>
      </c>
      <c r="G949">
        <v>7000</v>
      </c>
      <c r="H949" s="11">
        <v>45487</v>
      </c>
      <c r="I949" s="57" t="s">
        <v>266</v>
      </c>
      <c r="J949" s="57" t="s">
        <v>150</v>
      </c>
      <c r="K949" s="57" t="s">
        <v>253</v>
      </c>
      <c r="L949" t="s">
        <v>243</v>
      </c>
    </row>
    <row r="950" spans="1:12" x14ac:dyDescent="0.3">
      <c r="A950" s="57" t="s">
        <v>1213</v>
      </c>
      <c r="B950" s="57" t="s">
        <v>195</v>
      </c>
      <c r="C950" s="57" t="s">
        <v>196</v>
      </c>
      <c r="D950" s="57" t="s">
        <v>148</v>
      </c>
      <c r="E950" s="57" t="s">
        <v>256</v>
      </c>
      <c r="F950">
        <v>5</v>
      </c>
      <c r="G950">
        <v>708</v>
      </c>
      <c r="H950" s="11">
        <v>45487</v>
      </c>
      <c r="I950" s="57" t="s">
        <v>242</v>
      </c>
      <c r="J950" s="57" t="s">
        <v>248</v>
      </c>
      <c r="K950" s="57" t="s">
        <v>239</v>
      </c>
      <c r="L950" t="s">
        <v>302</v>
      </c>
    </row>
    <row r="951" spans="1:12" x14ac:dyDescent="0.3">
      <c r="A951" s="57" t="s">
        <v>1214</v>
      </c>
      <c r="B951" s="57" t="s">
        <v>236</v>
      </c>
      <c r="C951" s="57" t="s">
        <v>237</v>
      </c>
      <c r="D951" s="57" t="s">
        <v>152</v>
      </c>
      <c r="E951" s="57" t="s">
        <v>256</v>
      </c>
      <c r="F951">
        <v>5</v>
      </c>
      <c r="G951">
        <v>1311</v>
      </c>
      <c r="H951" s="11">
        <v>45000</v>
      </c>
      <c r="I951" s="57" t="s">
        <v>92</v>
      </c>
      <c r="J951" s="57" t="s">
        <v>150</v>
      </c>
      <c r="K951" s="57" t="s">
        <v>264</v>
      </c>
      <c r="L951" t="s">
        <v>258</v>
      </c>
    </row>
    <row r="952" spans="1:12" x14ac:dyDescent="0.3">
      <c r="A952" s="57" t="s">
        <v>1215</v>
      </c>
      <c r="B952" s="57" t="s">
        <v>247</v>
      </c>
      <c r="C952" s="57" t="s">
        <v>237</v>
      </c>
      <c r="D952" s="57" t="s">
        <v>153</v>
      </c>
      <c r="E952" s="57" t="s">
        <v>142</v>
      </c>
      <c r="F952">
        <v>5</v>
      </c>
      <c r="G952">
        <v>5900</v>
      </c>
      <c r="H952" s="11">
        <v>44959</v>
      </c>
      <c r="I952" s="57" t="s">
        <v>92</v>
      </c>
      <c r="J952" s="57" t="s">
        <v>248</v>
      </c>
      <c r="K952" s="57" t="s">
        <v>253</v>
      </c>
      <c r="L952" t="s">
        <v>240</v>
      </c>
    </row>
    <row r="953" spans="1:12" x14ac:dyDescent="0.3">
      <c r="A953" s="57" t="s">
        <v>1216</v>
      </c>
      <c r="B953" s="57" t="s">
        <v>245</v>
      </c>
      <c r="C953" s="57" t="s">
        <v>237</v>
      </c>
      <c r="D953" s="57" t="s">
        <v>238</v>
      </c>
      <c r="E953" s="57" t="s">
        <v>256</v>
      </c>
      <c r="F953">
        <v>5</v>
      </c>
      <c r="G953">
        <v>7000</v>
      </c>
      <c r="H953" s="11">
        <v>45092</v>
      </c>
      <c r="I953" s="57" t="s">
        <v>242</v>
      </c>
      <c r="J953" s="57" t="s">
        <v>147</v>
      </c>
      <c r="K953" s="57" t="s">
        <v>197</v>
      </c>
      <c r="L953" t="s">
        <v>243</v>
      </c>
    </row>
    <row r="954" spans="1:12" x14ac:dyDescent="0.3">
      <c r="A954" s="57" t="s">
        <v>1217</v>
      </c>
      <c r="B954" s="57" t="s">
        <v>236</v>
      </c>
      <c r="C954" s="57" t="s">
        <v>237</v>
      </c>
      <c r="D954" s="57" t="s">
        <v>141</v>
      </c>
      <c r="E954" s="57" t="s">
        <v>149</v>
      </c>
      <c r="F954">
        <v>0</v>
      </c>
      <c r="G954">
        <v>7000</v>
      </c>
      <c r="H954" s="11">
        <v>44941</v>
      </c>
      <c r="I954" s="57" t="s">
        <v>92</v>
      </c>
      <c r="J954" s="57" t="s">
        <v>145</v>
      </c>
      <c r="K954" s="57" t="s">
        <v>239</v>
      </c>
      <c r="L954" t="s">
        <v>243</v>
      </c>
    </row>
    <row r="955" spans="1:12" x14ac:dyDescent="0.3">
      <c r="A955" s="57" t="s">
        <v>1218</v>
      </c>
      <c r="B955" s="57" t="s">
        <v>273</v>
      </c>
      <c r="C955" s="57" t="s">
        <v>237</v>
      </c>
      <c r="D955" s="57" t="s">
        <v>153</v>
      </c>
      <c r="E955" s="57" t="s">
        <v>260</v>
      </c>
      <c r="F955">
        <v>10</v>
      </c>
      <c r="G955">
        <v>7000</v>
      </c>
      <c r="H955" s="11">
        <v>45553</v>
      </c>
      <c r="I955" s="57" t="s">
        <v>242</v>
      </c>
      <c r="J955" s="57" t="s">
        <v>147</v>
      </c>
      <c r="K955" s="57" t="s">
        <v>197</v>
      </c>
      <c r="L955" t="s">
        <v>243</v>
      </c>
    </row>
    <row r="956" spans="1:12" x14ac:dyDescent="0.3">
      <c r="A956" s="57" t="s">
        <v>1219</v>
      </c>
      <c r="B956" s="57" t="s">
        <v>273</v>
      </c>
      <c r="C956" s="57" t="s">
        <v>237</v>
      </c>
      <c r="D956" s="57" t="s">
        <v>238</v>
      </c>
      <c r="E956" s="57" t="s">
        <v>149</v>
      </c>
      <c r="F956">
        <v>10</v>
      </c>
      <c r="G956">
        <v>7000</v>
      </c>
      <c r="H956" s="11">
        <v>44966</v>
      </c>
      <c r="I956" s="57" t="s">
        <v>95</v>
      </c>
      <c r="J956" s="57" t="s">
        <v>150</v>
      </c>
      <c r="K956" s="57" t="s">
        <v>197</v>
      </c>
      <c r="L956" t="s">
        <v>243</v>
      </c>
    </row>
    <row r="957" spans="1:12" x14ac:dyDescent="0.3">
      <c r="A957" s="57" t="s">
        <v>1220</v>
      </c>
      <c r="B957" s="57" t="s">
        <v>262</v>
      </c>
      <c r="C957" s="57" t="s">
        <v>263</v>
      </c>
      <c r="D957" s="57" t="s">
        <v>238</v>
      </c>
      <c r="E957" s="57" t="s">
        <v>252</v>
      </c>
      <c r="F957">
        <v>0</v>
      </c>
      <c r="G957">
        <v>4744</v>
      </c>
      <c r="H957" s="11">
        <v>45077</v>
      </c>
      <c r="I957" s="57" t="s">
        <v>95</v>
      </c>
      <c r="J957" s="57" t="s">
        <v>248</v>
      </c>
      <c r="K957" s="57" t="s">
        <v>264</v>
      </c>
      <c r="L957" t="s">
        <v>240</v>
      </c>
    </row>
    <row r="958" spans="1:12" x14ac:dyDescent="0.3">
      <c r="A958" s="57" t="s">
        <v>1221</v>
      </c>
      <c r="B958" s="57" t="s">
        <v>268</v>
      </c>
      <c r="C958" s="57" t="s">
        <v>269</v>
      </c>
      <c r="D958" s="57" t="s">
        <v>144</v>
      </c>
      <c r="E958" s="57" t="s">
        <v>142</v>
      </c>
      <c r="F958">
        <v>5</v>
      </c>
      <c r="G958">
        <v>5900</v>
      </c>
      <c r="H958" s="11">
        <v>45352</v>
      </c>
      <c r="I958" s="57" t="s">
        <v>89</v>
      </c>
      <c r="J958" s="57" t="s">
        <v>143</v>
      </c>
      <c r="K958" s="57" t="s">
        <v>264</v>
      </c>
      <c r="L958" t="s">
        <v>240</v>
      </c>
    </row>
    <row r="959" spans="1:12" x14ac:dyDescent="0.3">
      <c r="A959" s="57" t="s">
        <v>1222</v>
      </c>
      <c r="B959" s="57" t="s">
        <v>262</v>
      </c>
      <c r="C959" s="57" t="s">
        <v>263</v>
      </c>
      <c r="D959" s="57" t="s">
        <v>151</v>
      </c>
      <c r="E959" s="57" t="s">
        <v>142</v>
      </c>
      <c r="F959">
        <v>0</v>
      </c>
      <c r="G959">
        <v>2641</v>
      </c>
      <c r="H959" s="11">
        <v>45424</v>
      </c>
      <c r="I959" s="57" t="s">
        <v>242</v>
      </c>
      <c r="J959" s="57" t="s">
        <v>145</v>
      </c>
      <c r="K959" s="57" t="s">
        <v>239</v>
      </c>
      <c r="L959" t="s">
        <v>258</v>
      </c>
    </row>
    <row r="960" spans="1:12" x14ac:dyDescent="0.3">
      <c r="A960" s="57" t="s">
        <v>1223</v>
      </c>
      <c r="B960" s="57" t="s">
        <v>251</v>
      </c>
      <c r="C960" s="57" t="s">
        <v>237</v>
      </c>
      <c r="D960" s="57" t="s">
        <v>146</v>
      </c>
      <c r="E960" s="57" t="s">
        <v>142</v>
      </c>
      <c r="F960">
        <v>0</v>
      </c>
      <c r="G960">
        <v>5900</v>
      </c>
      <c r="H960" s="11">
        <v>45353</v>
      </c>
      <c r="I960" s="57" t="s">
        <v>89</v>
      </c>
      <c r="J960" s="57" t="s">
        <v>150</v>
      </c>
      <c r="K960" s="57" t="s">
        <v>197</v>
      </c>
      <c r="L960" t="s">
        <v>240</v>
      </c>
    </row>
    <row r="961" spans="1:12" x14ac:dyDescent="0.3">
      <c r="A961" s="57" t="s">
        <v>1224</v>
      </c>
      <c r="B961" s="57" t="s">
        <v>273</v>
      </c>
      <c r="C961" s="57" t="s">
        <v>237</v>
      </c>
      <c r="D961" s="57" t="s">
        <v>238</v>
      </c>
      <c r="E961" s="57" t="s">
        <v>142</v>
      </c>
      <c r="F961">
        <v>5</v>
      </c>
      <c r="G961">
        <v>5900</v>
      </c>
      <c r="H961" s="11">
        <v>45508</v>
      </c>
      <c r="I961" s="57" t="s">
        <v>100</v>
      </c>
      <c r="J961" s="57" t="s">
        <v>248</v>
      </c>
      <c r="K961" s="57" t="s">
        <v>238</v>
      </c>
      <c r="L961" t="s">
        <v>240</v>
      </c>
    </row>
    <row r="962" spans="1:12" x14ac:dyDescent="0.3">
      <c r="A962" s="57" t="s">
        <v>1225</v>
      </c>
      <c r="B962" s="57" t="s">
        <v>255</v>
      </c>
      <c r="C962" s="57" t="s">
        <v>237</v>
      </c>
      <c r="D962" s="57" t="s">
        <v>238</v>
      </c>
      <c r="E962" s="57" t="s">
        <v>252</v>
      </c>
      <c r="F962">
        <v>5</v>
      </c>
      <c r="G962">
        <v>731</v>
      </c>
      <c r="H962" s="11">
        <v>45370</v>
      </c>
      <c r="I962" s="57" t="s">
        <v>92</v>
      </c>
      <c r="J962" s="57" t="s">
        <v>248</v>
      </c>
      <c r="K962" s="57" t="s">
        <v>264</v>
      </c>
      <c r="L962" t="s">
        <v>302</v>
      </c>
    </row>
    <row r="963" spans="1:12" x14ac:dyDescent="0.3">
      <c r="A963" s="57" t="s">
        <v>1226</v>
      </c>
      <c r="B963" s="57" t="s">
        <v>275</v>
      </c>
      <c r="C963" s="57" t="s">
        <v>276</v>
      </c>
      <c r="D963" s="57" t="s">
        <v>153</v>
      </c>
      <c r="E963" s="57" t="s">
        <v>252</v>
      </c>
      <c r="F963">
        <v>5</v>
      </c>
      <c r="G963">
        <v>2145</v>
      </c>
      <c r="H963" s="11">
        <v>45086</v>
      </c>
      <c r="I963" s="57" t="s">
        <v>95</v>
      </c>
      <c r="J963" s="57" t="s">
        <v>147</v>
      </c>
      <c r="K963" s="57" t="s">
        <v>197</v>
      </c>
      <c r="L963" t="s">
        <v>258</v>
      </c>
    </row>
    <row r="964" spans="1:12" x14ac:dyDescent="0.3">
      <c r="A964" s="57" t="s">
        <v>1227</v>
      </c>
      <c r="B964" s="57" t="s">
        <v>255</v>
      </c>
      <c r="C964" s="57" t="s">
        <v>237</v>
      </c>
      <c r="D964" s="57" t="s">
        <v>148</v>
      </c>
      <c r="E964" s="57" t="s">
        <v>260</v>
      </c>
      <c r="F964">
        <v>10</v>
      </c>
      <c r="G964">
        <v>7000</v>
      </c>
      <c r="H964" s="11">
        <v>45535</v>
      </c>
      <c r="I964" s="57" t="s">
        <v>95</v>
      </c>
      <c r="J964" s="57" t="s">
        <v>145</v>
      </c>
      <c r="K964" s="57" t="s">
        <v>239</v>
      </c>
      <c r="L964" t="s">
        <v>243</v>
      </c>
    </row>
    <row r="965" spans="1:12" x14ac:dyDescent="0.3">
      <c r="A965" s="57" t="s">
        <v>1228</v>
      </c>
      <c r="B965" s="57" t="s">
        <v>245</v>
      </c>
      <c r="C965" s="57" t="s">
        <v>237</v>
      </c>
      <c r="D965" s="57" t="s">
        <v>238</v>
      </c>
      <c r="E965" s="57" t="s">
        <v>142</v>
      </c>
      <c r="F965">
        <v>7</v>
      </c>
      <c r="G965">
        <v>7000</v>
      </c>
      <c r="H965" s="11">
        <v>45080</v>
      </c>
      <c r="I965" s="57" t="s">
        <v>100</v>
      </c>
      <c r="J965" s="57" t="s">
        <v>147</v>
      </c>
      <c r="K965" s="57" t="s">
        <v>249</v>
      </c>
      <c r="L965" t="s">
        <v>243</v>
      </c>
    </row>
    <row r="966" spans="1:12" x14ac:dyDescent="0.3">
      <c r="A966" s="57" t="s">
        <v>1229</v>
      </c>
      <c r="B966" s="57" t="s">
        <v>245</v>
      </c>
      <c r="C966" s="57" t="s">
        <v>237</v>
      </c>
      <c r="D966" s="57" t="s">
        <v>151</v>
      </c>
      <c r="E966" s="57" t="s">
        <v>260</v>
      </c>
      <c r="F966">
        <v>5</v>
      </c>
      <c r="G966">
        <v>5900</v>
      </c>
      <c r="H966" s="11">
        <v>45333</v>
      </c>
      <c r="I966" s="57" t="s">
        <v>89</v>
      </c>
      <c r="J966" s="57" t="s">
        <v>248</v>
      </c>
      <c r="K966" s="57" t="s">
        <v>249</v>
      </c>
      <c r="L966" t="s">
        <v>240</v>
      </c>
    </row>
    <row r="967" spans="1:12" x14ac:dyDescent="0.3">
      <c r="A967" s="57" t="s">
        <v>1230</v>
      </c>
      <c r="B967" s="57" t="s">
        <v>268</v>
      </c>
      <c r="C967" s="57" t="s">
        <v>269</v>
      </c>
      <c r="D967" s="57" t="s">
        <v>144</v>
      </c>
      <c r="E967" s="57" t="s">
        <v>142</v>
      </c>
      <c r="F967">
        <v>0</v>
      </c>
      <c r="G967">
        <v>1225</v>
      </c>
      <c r="H967" s="11">
        <v>45108</v>
      </c>
      <c r="I967" s="57" t="s">
        <v>242</v>
      </c>
      <c r="J967" s="57" t="s">
        <v>150</v>
      </c>
      <c r="K967" s="57" t="s">
        <v>249</v>
      </c>
      <c r="L967" t="s">
        <v>258</v>
      </c>
    </row>
    <row r="968" spans="1:12" x14ac:dyDescent="0.3">
      <c r="A968" s="57" t="s">
        <v>1231</v>
      </c>
      <c r="B968" s="57" t="s">
        <v>247</v>
      </c>
      <c r="C968" s="57" t="s">
        <v>237</v>
      </c>
      <c r="D968" s="57" t="s">
        <v>148</v>
      </c>
      <c r="E968" s="57" t="s">
        <v>252</v>
      </c>
      <c r="F968">
        <v>7</v>
      </c>
      <c r="G968">
        <v>7000</v>
      </c>
      <c r="H968" s="11">
        <v>45108</v>
      </c>
      <c r="I968" s="57" t="s">
        <v>291</v>
      </c>
      <c r="J968" s="57" t="s">
        <v>248</v>
      </c>
      <c r="K968" s="57" t="s">
        <v>249</v>
      </c>
      <c r="L968" t="s">
        <v>243</v>
      </c>
    </row>
    <row r="969" spans="1:12" x14ac:dyDescent="0.3">
      <c r="A969" s="57" t="s">
        <v>1232</v>
      </c>
      <c r="B969" s="57" t="s">
        <v>275</v>
      </c>
      <c r="C969" s="57" t="s">
        <v>276</v>
      </c>
      <c r="D969" s="57" t="s">
        <v>141</v>
      </c>
      <c r="E969" s="57" t="s">
        <v>149</v>
      </c>
      <c r="F969">
        <v>0</v>
      </c>
      <c r="G969">
        <v>7000</v>
      </c>
      <c r="H969" s="11">
        <v>45405</v>
      </c>
      <c r="I969" s="57" t="s">
        <v>291</v>
      </c>
      <c r="J969" s="57" t="s">
        <v>248</v>
      </c>
      <c r="K969" s="57" t="s">
        <v>238</v>
      </c>
      <c r="L969" t="s">
        <v>243</v>
      </c>
    </row>
    <row r="970" spans="1:12" x14ac:dyDescent="0.3">
      <c r="A970" s="57" t="s">
        <v>1233</v>
      </c>
      <c r="B970" s="57" t="s">
        <v>245</v>
      </c>
      <c r="C970" s="57" t="s">
        <v>237</v>
      </c>
      <c r="D970" s="57" t="s">
        <v>146</v>
      </c>
      <c r="E970" s="57" t="s">
        <v>142</v>
      </c>
      <c r="F970">
        <v>5</v>
      </c>
      <c r="G970">
        <v>7000</v>
      </c>
      <c r="H970" s="11">
        <v>45625</v>
      </c>
      <c r="I970" s="57" t="s">
        <v>100</v>
      </c>
      <c r="J970" s="57" t="s">
        <v>150</v>
      </c>
      <c r="K970" s="57" t="s">
        <v>238</v>
      </c>
      <c r="L970" t="s">
        <v>243</v>
      </c>
    </row>
    <row r="971" spans="1:12" x14ac:dyDescent="0.3">
      <c r="A971" s="57" t="s">
        <v>1234</v>
      </c>
      <c r="B971" s="57" t="s">
        <v>255</v>
      </c>
      <c r="C971" s="57" t="s">
        <v>237</v>
      </c>
      <c r="D971" s="57" t="s">
        <v>238</v>
      </c>
      <c r="E971" s="57" t="s">
        <v>260</v>
      </c>
      <c r="F971">
        <v>5</v>
      </c>
      <c r="G971">
        <v>5900</v>
      </c>
      <c r="H971" s="11">
        <v>45289</v>
      </c>
      <c r="I971" s="57" t="s">
        <v>89</v>
      </c>
      <c r="J971" s="57" t="s">
        <v>147</v>
      </c>
      <c r="K971" s="57" t="s">
        <v>238</v>
      </c>
      <c r="L971" t="s">
        <v>240</v>
      </c>
    </row>
    <row r="972" spans="1:12" x14ac:dyDescent="0.3">
      <c r="A972" s="57" t="s">
        <v>1235</v>
      </c>
      <c r="B972" s="57" t="s">
        <v>268</v>
      </c>
      <c r="C972" s="57" t="s">
        <v>269</v>
      </c>
      <c r="D972" s="57" t="s">
        <v>152</v>
      </c>
      <c r="E972" s="57" t="s">
        <v>260</v>
      </c>
      <c r="F972">
        <v>5</v>
      </c>
      <c r="G972">
        <v>7000</v>
      </c>
      <c r="H972" s="11">
        <v>44948</v>
      </c>
      <c r="I972" s="57" t="s">
        <v>291</v>
      </c>
      <c r="J972" s="57" t="s">
        <v>150</v>
      </c>
      <c r="K972" s="57" t="s">
        <v>238</v>
      </c>
      <c r="L972" t="s">
        <v>243</v>
      </c>
    </row>
    <row r="973" spans="1:12" x14ac:dyDescent="0.3">
      <c r="A973" s="57" t="s">
        <v>1236</v>
      </c>
      <c r="B973" s="57" t="s">
        <v>262</v>
      </c>
      <c r="C973" s="57" t="s">
        <v>263</v>
      </c>
      <c r="D973" s="57" t="s">
        <v>152</v>
      </c>
      <c r="E973" s="57" t="s">
        <v>149</v>
      </c>
      <c r="F973">
        <v>7</v>
      </c>
      <c r="G973">
        <v>5900</v>
      </c>
      <c r="H973" s="11">
        <v>45215</v>
      </c>
      <c r="I973" s="57" t="s">
        <v>257</v>
      </c>
      <c r="J973" s="57" t="s">
        <v>145</v>
      </c>
      <c r="K973" s="57" t="s">
        <v>239</v>
      </c>
      <c r="L973" t="s">
        <v>240</v>
      </c>
    </row>
    <row r="974" spans="1:12" x14ac:dyDescent="0.3">
      <c r="A974" s="57" t="s">
        <v>1237</v>
      </c>
      <c r="B974" s="57" t="s">
        <v>255</v>
      </c>
      <c r="C974" s="57" t="s">
        <v>237</v>
      </c>
      <c r="D974" s="57" t="s">
        <v>153</v>
      </c>
      <c r="E974" s="57" t="s">
        <v>252</v>
      </c>
      <c r="F974">
        <v>10</v>
      </c>
      <c r="G974">
        <v>7000</v>
      </c>
      <c r="H974" s="11">
        <v>45478</v>
      </c>
      <c r="I974" s="57" t="s">
        <v>100</v>
      </c>
      <c r="J974" s="57" t="s">
        <v>145</v>
      </c>
      <c r="K974" s="57" t="s">
        <v>238</v>
      </c>
      <c r="L974" t="s">
        <v>243</v>
      </c>
    </row>
    <row r="975" spans="1:12" x14ac:dyDescent="0.3">
      <c r="A975" s="57" t="s">
        <v>1238</v>
      </c>
      <c r="B975" s="57" t="s">
        <v>275</v>
      </c>
      <c r="C975" s="57" t="s">
        <v>276</v>
      </c>
      <c r="D975" s="57" t="s">
        <v>146</v>
      </c>
      <c r="E975" s="57" t="s">
        <v>149</v>
      </c>
      <c r="F975">
        <v>5</v>
      </c>
      <c r="G975">
        <v>7000</v>
      </c>
      <c r="H975" s="11">
        <v>45261</v>
      </c>
      <c r="I975" s="57" t="s">
        <v>100</v>
      </c>
      <c r="J975" s="57" t="s">
        <v>145</v>
      </c>
      <c r="K975" s="57" t="s">
        <v>264</v>
      </c>
      <c r="L975" t="s">
        <v>243</v>
      </c>
    </row>
    <row r="976" spans="1:12" x14ac:dyDescent="0.3">
      <c r="A976" s="57" t="s">
        <v>1239</v>
      </c>
      <c r="B976" s="57" t="s">
        <v>268</v>
      </c>
      <c r="C976" s="57" t="s">
        <v>269</v>
      </c>
      <c r="D976" s="57" t="s">
        <v>148</v>
      </c>
      <c r="E976" s="57" t="s">
        <v>149</v>
      </c>
      <c r="F976">
        <v>7</v>
      </c>
      <c r="G976">
        <v>7000</v>
      </c>
      <c r="H976" s="11">
        <v>45458</v>
      </c>
      <c r="I976" s="57" t="s">
        <v>257</v>
      </c>
      <c r="J976" s="57" t="s">
        <v>147</v>
      </c>
      <c r="K976" s="57" t="s">
        <v>238</v>
      </c>
      <c r="L976" t="s">
        <v>243</v>
      </c>
    </row>
    <row r="977" spans="1:12" x14ac:dyDescent="0.3">
      <c r="A977" s="57" t="s">
        <v>1240</v>
      </c>
      <c r="B977" s="57" t="s">
        <v>195</v>
      </c>
      <c r="C977" s="57" t="s">
        <v>196</v>
      </c>
      <c r="D977" s="57" t="s">
        <v>148</v>
      </c>
      <c r="E977" s="57" t="s">
        <v>260</v>
      </c>
      <c r="F977">
        <v>5</v>
      </c>
      <c r="G977">
        <v>5900</v>
      </c>
      <c r="H977" s="11">
        <v>45555</v>
      </c>
      <c r="I977" s="57" t="s">
        <v>257</v>
      </c>
      <c r="J977" s="57" t="s">
        <v>143</v>
      </c>
      <c r="K977" s="57" t="s">
        <v>249</v>
      </c>
      <c r="L977" t="s">
        <v>240</v>
      </c>
    </row>
    <row r="978" spans="1:12" x14ac:dyDescent="0.3">
      <c r="A978" s="57" t="s">
        <v>1241</v>
      </c>
      <c r="B978" s="57" t="s">
        <v>262</v>
      </c>
      <c r="C978" s="57" t="s">
        <v>263</v>
      </c>
      <c r="D978" s="57" t="s">
        <v>238</v>
      </c>
      <c r="E978" s="57" t="s">
        <v>260</v>
      </c>
      <c r="F978">
        <v>0</v>
      </c>
      <c r="G978">
        <v>7000</v>
      </c>
      <c r="H978" s="11">
        <v>45209</v>
      </c>
      <c r="I978" s="57" t="s">
        <v>100</v>
      </c>
      <c r="J978" s="57" t="s">
        <v>143</v>
      </c>
      <c r="K978" s="57" t="s">
        <v>197</v>
      </c>
      <c r="L978" t="s">
        <v>243</v>
      </c>
    </row>
    <row r="979" spans="1:12" x14ac:dyDescent="0.3">
      <c r="A979" s="57" t="s">
        <v>1242</v>
      </c>
      <c r="B979" s="57" t="s">
        <v>255</v>
      </c>
      <c r="C979" s="57" t="s">
        <v>237</v>
      </c>
      <c r="D979" s="57" t="s">
        <v>148</v>
      </c>
      <c r="E979" s="57" t="s">
        <v>149</v>
      </c>
      <c r="F979">
        <v>0</v>
      </c>
      <c r="G979">
        <v>5900</v>
      </c>
      <c r="H979" s="11">
        <v>45115</v>
      </c>
      <c r="I979" s="57" t="s">
        <v>95</v>
      </c>
      <c r="J979" s="57" t="s">
        <v>145</v>
      </c>
      <c r="K979" s="57" t="s">
        <v>264</v>
      </c>
      <c r="L979" t="s">
        <v>240</v>
      </c>
    </row>
    <row r="980" spans="1:12" x14ac:dyDescent="0.3">
      <c r="A980" s="57" t="s">
        <v>1243</v>
      </c>
      <c r="B980" s="57" t="s">
        <v>195</v>
      </c>
      <c r="C980" s="57" t="s">
        <v>196</v>
      </c>
      <c r="D980" s="57" t="s">
        <v>146</v>
      </c>
      <c r="E980" s="57" t="s">
        <v>252</v>
      </c>
      <c r="F980">
        <v>5</v>
      </c>
      <c r="G980">
        <v>7000</v>
      </c>
      <c r="H980" s="11">
        <v>45379</v>
      </c>
      <c r="I980" s="57" t="s">
        <v>95</v>
      </c>
      <c r="J980" s="57" t="s">
        <v>248</v>
      </c>
      <c r="K980" s="57" t="s">
        <v>239</v>
      </c>
      <c r="L980" t="s">
        <v>243</v>
      </c>
    </row>
    <row r="981" spans="1:12" x14ac:dyDescent="0.3">
      <c r="A981" s="57" t="s">
        <v>1244</v>
      </c>
      <c r="B981" s="57" t="s">
        <v>236</v>
      </c>
      <c r="C981" s="57" t="s">
        <v>237</v>
      </c>
      <c r="D981" s="57" t="s">
        <v>152</v>
      </c>
      <c r="E981" s="57" t="s">
        <v>260</v>
      </c>
      <c r="F981">
        <v>10</v>
      </c>
      <c r="G981">
        <v>5900</v>
      </c>
      <c r="H981" s="11">
        <v>45128</v>
      </c>
      <c r="I981" s="57" t="s">
        <v>95</v>
      </c>
      <c r="J981" s="57" t="s">
        <v>145</v>
      </c>
      <c r="K981" s="57" t="s">
        <v>253</v>
      </c>
      <c r="L981" t="s">
        <v>240</v>
      </c>
    </row>
    <row r="982" spans="1:12" x14ac:dyDescent="0.3">
      <c r="A982" s="57" t="s">
        <v>1245</v>
      </c>
      <c r="B982" s="57" t="s">
        <v>247</v>
      </c>
      <c r="C982" s="57" t="s">
        <v>237</v>
      </c>
      <c r="D982" s="57" t="s">
        <v>144</v>
      </c>
      <c r="E982" s="57" t="s">
        <v>149</v>
      </c>
      <c r="F982">
        <v>10</v>
      </c>
      <c r="G982">
        <v>7000</v>
      </c>
      <c r="H982" s="11">
        <v>45511</v>
      </c>
      <c r="I982" s="57" t="s">
        <v>291</v>
      </c>
      <c r="J982" s="57" t="s">
        <v>145</v>
      </c>
      <c r="K982" s="57" t="s">
        <v>249</v>
      </c>
      <c r="L982" t="s">
        <v>243</v>
      </c>
    </row>
    <row r="983" spans="1:12" x14ac:dyDescent="0.3">
      <c r="A983" s="57" t="s">
        <v>1246</v>
      </c>
      <c r="B983" s="57" t="s">
        <v>247</v>
      </c>
      <c r="C983" s="57" t="s">
        <v>237</v>
      </c>
      <c r="D983" s="57" t="s">
        <v>153</v>
      </c>
      <c r="E983" s="57" t="s">
        <v>260</v>
      </c>
      <c r="F983">
        <v>0</v>
      </c>
      <c r="G983">
        <v>5900</v>
      </c>
      <c r="H983" s="11">
        <v>45482</v>
      </c>
      <c r="I983" s="57" t="s">
        <v>257</v>
      </c>
      <c r="J983" s="57" t="s">
        <v>150</v>
      </c>
      <c r="K983" s="57" t="s">
        <v>253</v>
      </c>
      <c r="L983" t="s">
        <v>240</v>
      </c>
    </row>
    <row r="984" spans="1:12" x14ac:dyDescent="0.3">
      <c r="A984" s="57" t="s">
        <v>1247</v>
      </c>
      <c r="B984" s="57" t="s">
        <v>275</v>
      </c>
      <c r="C984" s="57" t="s">
        <v>276</v>
      </c>
      <c r="D984" s="57" t="s">
        <v>152</v>
      </c>
      <c r="E984" s="57" t="s">
        <v>260</v>
      </c>
      <c r="F984">
        <v>7</v>
      </c>
      <c r="G984">
        <v>7000</v>
      </c>
      <c r="H984" s="11">
        <v>45407</v>
      </c>
      <c r="I984" s="57" t="s">
        <v>291</v>
      </c>
      <c r="J984" s="57" t="s">
        <v>147</v>
      </c>
      <c r="K984" s="57" t="s">
        <v>197</v>
      </c>
      <c r="L984" t="s">
        <v>243</v>
      </c>
    </row>
    <row r="985" spans="1:12" x14ac:dyDescent="0.3">
      <c r="A985" s="57" t="s">
        <v>1248</v>
      </c>
      <c r="B985" s="57" t="s">
        <v>275</v>
      </c>
      <c r="C985" s="57" t="s">
        <v>276</v>
      </c>
      <c r="D985" s="57" t="s">
        <v>238</v>
      </c>
      <c r="E985" s="57" t="s">
        <v>260</v>
      </c>
      <c r="F985">
        <v>7</v>
      </c>
      <c r="G985">
        <v>7000</v>
      </c>
      <c r="H985" s="11">
        <v>45599</v>
      </c>
      <c r="I985" s="57" t="s">
        <v>257</v>
      </c>
      <c r="J985" s="57" t="s">
        <v>248</v>
      </c>
      <c r="K985" s="57" t="s">
        <v>197</v>
      </c>
      <c r="L985" t="s">
        <v>243</v>
      </c>
    </row>
    <row r="986" spans="1:12" x14ac:dyDescent="0.3">
      <c r="A986" s="57" t="s">
        <v>1249</v>
      </c>
      <c r="B986" s="57" t="s">
        <v>251</v>
      </c>
      <c r="C986" s="57" t="s">
        <v>237</v>
      </c>
      <c r="D986" s="57" t="s">
        <v>152</v>
      </c>
      <c r="E986" s="57" t="s">
        <v>252</v>
      </c>
      <c r="F986">
        <v>6</v>
      </c>
      <c r="G986">
        <v>5900</v>
      </c>
      <c r="H986" s="11">
        <v>45144</v>
      </c>
      <c r="I986" s="57" t="s">
        <v>266</v>
      </c>
      <c r="J986" s="57" t="s">
        <v>145</v>
      </c>
      <c r="K986" s="57" t="s">
        <v>238</v>
      </c>
      <c r="L986" t="s">
        <v>240</v>
      </c>
    </row>
    <row r="987" spans="1:12" x14ac:dyDescent="0.3">
      <c r="A987" s="57" t="s">
        <v>1250</v>
      </c>
      <c r="B987" s="57" t="s">
        <v>268</v>
      </c>
      <c r="C987" s="57" t="s">
        <v>269</v>
      </c>
      <c r="D987" s="57" t="s">
        <v>146</v>
      </c>
      <c r="E987" s="57" t="s">
        <v>252</v>
      </c>
      <c r="F987">
        <v>10</v>
      </c>
      <c r="G987">
        <v>7000</v>
      </c>
      <c r="H987" s="11">
        <v>44982</v>
      </c>
      <c r="I987" s="57" t="s">
        <v>95</v>
      </c>
      <c r="J987" s="57" t="s">
        <v>150</v>
      </c>
      <c r="K987" s="57" t="s">
        <v>264</v>
      </c>
      <c r="L987" t="s">
        <v>243</v>
      </c>
    </row>
    <row r="988" spans="1:12" x14ac:dyDescent="0.3">
      <c r="A988" s="57" t="s">
        <v>1251</v>
      </c>
      <c r="B988" s="57" t="s">
        <v>268</v>
      </c>
      <c r="C988" s="57" t="s">
        <v>269</v>
      </c>
      <c r="D988" s="57" t="s">
        <v>148</v>
      </c>
      <c r="E988" s="57" t="s">
        <v>260</v>
      </c>
      <c r="F988">
        <v>1</v>
      </c>
      <c r="G988">
        <v>7000</v>
      </c>
      <c r="H988" s="11">
        <v>44969</v>
      </c>
      <c r="I988" s="57" t="s">
        <v>242</v>
      </c>
      <c r="J988" s="57" t="s">
        <v>150</v>
      </c>
      <c r="K988" s="57" t="s">
        <v>238</v>
      </c>
      <c r="L988" t="s">
        <v>243</v>
      </c>
    </row>
    <row r="989" spans="1:12" x14ac:dyDescent="0.3">
      <c r="A989" s="57" t="s">
        <v>1252</v>
      </c>
      <c r="B989" s="57" t="s">
        <v>195</v>
      </c>
      <c r="C989" s="57" t="s">
        <v>196</v>
      </c>
      <c r="D989" s="57" t="s">
        <v>144</v>
      </c>
      <c r="E989" s="57" t="s">
        <v>260</v>
      </c>
      <c r="F989">
        <v>1</v>
      </c>
      <c r="G989">
        <v>7000</v>
      </c>
      <c r="H989" s="11">
        <v>45472</v>
      </c>
      <c r="I989" s="57" t="s">
        <v>100</v>
      </c>
      <c r="J989" s="57" t="s">
        <v>145</v>
      </c>
      <c r="K989" s="57" t="s">
        <v>197</v>
      </c>
      <c r="L989" t="s">
        <v>243</v>
      </c>
    </row>
    <row r="990" spans="1:12" x14ac:dyDescent="0.3">
      <c r="A990" s="57" t="s">
        <v>1253</v>
      </c>
      <c r="B990" s="57" t="s">
        <v>275</v>
      </c>
      <c r="C990" s="57" t="s">
        <v>276</v>
      </c>
      <c r="D990" s="57" t="s">
        <v>151</v>
      </c>
      <c r="E990" s="57" t="s">
        <v>256</v>
      </c>
      <c r="F990">
        <v>0</v>
      </c>
      <c r="G990">
        <v>5900</v>
      </c>
      <c r="H990" s="11">
        <v>44944</v>
      </c>
      <c r="I990" s="57" t="s">
        <v>95</v>
      </c>
      <c r="J990" s="57" t="s">
        <v>143</v>
      </c>
      <c r="K990" s="57" t="s">
        <v>238</v>
      </c>
      <c r="L990" t="s">
        <v>240</v>
      </c>
    </row>
    <row r="991" spans="1:12" x14ac:dyDescent="0.3">
      <c r="A991" s="57" t="s">
        <v>1254</v>
      </c>
      <c r="B991" s="57" t="s">
        <v>195</v>
      </c>
      <c r="C991" s="57" t="s">
        <v>196</v>
      </c>
      <c r="D991" s="57" t="s">
        <v>238</v>
      </c>
      <c r="E991" s="57" t="s">
        <v>252</v>
      </c>
      <c r="F991">
        <v>10</v>
      </c>
      <c r="G991">
        <v>5900</v>
      </c>
      <c r="H991" s="11">
        <v>44932</v>
      </c>
      <c r="I991" s="57" t="s">
        <v>242</v>
      </c>
      <c r="J991" s="57" t="s">
        <v>143</v>
      </c>
      <c r="K991" s="57" t="s">
        <v>239</v>
      </c>
      <c r="L991" t="s">
        <v>240</v>
      </c>
    </row>
    <row r="992" spans="1:12" x14ac:dyDescent="0.3">
      <c r="A992" s="57" t="s">
        <v>1255</v>
      </c>
      <c r="B992" s="57" t="s">
        <v>247</v>
      </c>
      <c r="C992" s="57" t="s">
        <v>237</v>
      </c>
      <c r="D992" s="57" t="s">
        <v>148</v>
      </c>
      <c r="E992" s="57" t="s">
        <v>256</v>
      </c>
      <c r="F992">
        <v>10</v>
      </c>
      <c r="G992">
        <v>5900</v>
      </c>
      <c r="H992" s="11">
        <v>45423</v>
      </c>
      <c r="I992" s="57" t="s">
        <v>100</v>
      </c>
      <c r="J992" s="57" t="s">
        <v>147</v>
      </c>
      <c r="K992" s="57" t="s">
        <v>264</v>
      </c>
      <c r="L992" t="s">
        <v>240</v>
      </c>
    </row>
    <row r="993" spans="1:12" x14ac:dyDescent="0.3">
      <c r="A993" s="57" t="s">
        <v>1256</v>
      </c>
      <c r="B993" s="57" t="s">
        <v>236</v>
      </c>
      <c r="C993" s="57" t="s">
        <v>237</v>
      </c>
      <c r="D993" s="57" t="s">
        <v>151</v>
      </c>
      <c r="E993" s="57" t="s">
        <v>260</v>
      </c>
      <c r="F993">
        <v>10</v>
      </c>
      <c r="G993">
        <v>5900</v>
      </c>
      <c r="H993" s="11">
        <v>45278</v>
      </c>
      <c r="I993" s="57" t="s">
        <v>242</v>
      </c>
      <c r="J993" s="57" t="s">
        <v>147</v>
      </c>
      <c r="K993" s="57" t="s">
        <v>197</v>
      </c>
      <c r="L993" t="s">
        <v>240</v>
      </c>
    </row>
    <row r="994" spans="1:12" x14ac:dyDescent="0.3">
      <c r="A994" s="57" t="s">
        <v>1257</v>
      </c>
      <c r="B994" s="57" t="s">
        <v>247</v>
      </c>
      <c r="C994" s="57" t="s">
        <v>237</v>
      </c>
      <c r="D994" s="57" t="s">
        <v>151</v>
      </c>
      <c r="E994" s="57" t="s">
        <v>260</v>
      </c>
      <c r="F994">
        <v>7</v>
      </c>
      <c r="G994">
        <v>5900</v>
      </c>
      <c r="H994" s="11">
        <v>45556</v>
      </c>
      <c r="I994" s="57" t="s">
        <v>95</v>
      </c>
      <c r="J994" s="57" t="s">
        <v>143</v>
      </c>
      <c r="K994" s="57" t="s">
        <v>249</v>
      </c>
      <c r="L994" t="s">
        <v>240</v>
      </c>
    </row>
    <row r="995" spans="1:12" x14ac:dyDescent="0.3">
      <c r="A995" s="57" t="s">
        <v>1258</v>
      </c>
      <c r="B995" s="57" t="s">
        <v>236</v>
      </c>
      <c r="C995" s="57" t="s">
        <v>237</v>
      </c>
      <c r="D995" s="57" t="s">
        <v>141</v>
      </c>
      <c r="E995" s="57" t="s">
        <v>142</v>
      </c>
      <c r="F995">
        <v>10</v>
      </c>
      <c r="G995">
        <v>7000</v>
      </c>
      <c r="H995" s="11">
        <v>45385</v>
      </c>
      <c r="I995" s="57" t="s">
        <v>291</v>
      </c>
      <c r="J995" s="57" t="s">
        <v>145</v>
      </c>
      <c r="K995" s="57" t="s">
        <v>197</v>
      </c>
      <c r="L995" t="s">
        <v>243</v>
      </c>
    </row>
    <row r="996" spans="1:12" x14ac:dyDescent="0.3">
      <c r="A996" s="57" t="s">
        <v>1259</v>
      </c>
      <c r="B996" s="57" t="s">
        <v>251</v>
      </c>
      <c r="C996" s="57" t="s">
        <v>237</v>
      </c>
      <c r="D996" s="57" t="s">
        <v>151</v>
      </c>
      <c r="E996" s="57" t="s">
        <v>252</v>
      </c>
      <c r="F996">
        <v>10</v>
      </c>
      <c r="G996">
        <v>5900</v>
      </c>
      <c r="H996" s="11">
        <v>45133</v>
      </c>
      <c r="I996" s="57" t="s">
        <v>89</v>
      </c>
      <c r="J996" s="57" t="s">
        <v>150</v>
      </c>
      <c r="K996" s="57" t="s">
        <v>239</v>
      </c>
      <c r="L996" t="s">
        <v>240</v>
      </c>
    </row>
    <row r="997" spans="1:12" x14ac:dyDescent="0.3">
      <c r="A997" s="57" t="s">
        <v>1260</v>
      </c>
      <c r="B997" s="57" t="s">
        <v>245</v>
      </c>
      <c r="C997" s="57" t="s">
        <v>237</v>
      </c>
      <c r="D997" s="57" t="s">
        <v>144</v>
      </c>
      <c r="E997" s="57" t="s">
        <v>256</v>
      </c>
      <c r="F997">
        <v>7</v>
      </c>
      <c r="G997">
        <v>3753</v>
      </c>
      <c r="H997" s="11">
        <v>45044</v>
      </c>
      <c r="I997" s="57" t="s">
        <v>89</v>
      </c>
      <c r="J997" s="57" t="s">
        <v>248</v>
      </c>
      <c r="K997" s="57" t="s">
        <v>253</v>
      </c>
      <c r="L997" t="s">
        <v>258</v>
      </c>
    </row>
    <row r="998" spans="1:12" x14ac:dyDescent="0.3">
      <c r="A998" s="57" t="s">
        <v>1261</v>
      </c>
      <c r="B998" s="57" t="s">
        <v>275</v>
      </c>
      <c r="C998" s="57" t="s">
        <v>276</v>
      </c>
      <c r="D998" s="57" t="s">
        <v>238</v>
      </c>
      <c r="E998" s="57" t="s">
        <v>252</v>
      </c>
      <c r="F998">
        <v>0</v>
      </c>
      <c r="G998">
        <v>7000</v>
      </c>
      <c r="H998" s="11">
        <v>45454</v>
      </c>
      <c r="I998" s="57" t="s">
        <v>266</v>
      </c>
      <c r="J998" s="57" t="s">
        <v>143</v>
      </c>
      <c r="K998" s="57" t="s">
        <v>238</v>
      </c>
      <c r="L998" t="s">
        <v>243</v>
      </c>
    </row>
    <row r="999" spans="1:12" x14ac:dyDescent="0.3">
      <c r="A999" s="57" t="s">
        <v>1262</v>
      </c>
      <c r="B999" s="57" t="s">
        <v>247</v>
      </c>
      <c r="C999" s="57" t="s">
        <v>237</v>
      </c>
      <c r="D999" s="57" t="s">
        <v>238</v>
      </c>
      <c r="E999" s="57" t="s">
        <v>149</v>
      </c>
      <c r="F999">
        <v>10</v>
      </c>
      <c r="G999">
        <v>203</v>
      </c>
      <c r="H999" s="11">
        <v>45089</v>
      </c>
      <c r="I999" s="57" t="s">
        <v>89</v>
      </c>
      <c r="J999" s="57" t="s">
        <v>145</v>
      </c>
      <c r="K999" s="57" t="s">
        <v>249</v>
      </c>
      <c r="L999" t="s">
        <v>302</v>
      </c>
    </row>
    <row r="1000" spans="1:12" x14ac:dyDescent="0.3">
      <c r="A1000" s="57" t="s">
        <v>1263</v>
      </c>
      <c r="B1000" s="57" t="s">
        <v>195</v>
      </c>
      <c r="C1000" s="57" t="s">
        <v>196</v>
      </c>
      <c r="D1000" s="57" t="s">
        <v>144</v>
      </c>
      <c r="E1000" s="57" t="s">
        <v>142</v>
      </c>
      <c r="F1000">
        <v>10</v>
      </c>
      <c r="G1000">
        <v>7000</v>
      </c>
      <c r="H1000" s="11">
        <v>45197</v>
      </c>
      <c r="I1000" s="57" t="s">
        <v>100</v>
      </c>
      <c r="J1000" s="57" t="s">
        <v>147</v>
      </c>
      <c r="K1000" s="57" t="s">
        <v>249</v>
      </c>
      <c r="L1000" t="s">
        <v>243</v>
      </c>
    </row>
    <row r="1001" spans="1:12" x14ac:dyDescent="0.3">
      <c r="A1001" s="57" t="s">
        <v>1264</v>
      </c>
      <c r="B1001" s="57" t="s">
        <v>245</v>
      </c>
      <c r="C1001" s="57" t="s">
        <v>237</v>
      </c>
      <c r="D1001" s="57" t="s">
        <v>238</v>
      </c>
      <c r="E1001" s="57" t="s">
        <v>252</v>
      </c>
      <c r="F1001">
        <v>5</v>
      </c>
      <c r="G1001">
        <v>7000</v>
      </c>
      <c r="H1001" s="11">
        <v>45149</v>
      </c>
      <c r="I1001" s="57" t="s">
        <v>92</v>
      </c>
      <c r="J1001" s="57" t="s">
        <v>248</v>
      </c>
      <c r="K1001" s="57" t="s">
        <v>239</v>
      </c>
      <c r="L1001" t="s">
        <v>243</v>
      </c>
    </row>
    <row r="1002" spans="1:12" x14ac:dyDescent="0.3">
      <c r="A1002" s="57" t="s">
        <v>1265</v>
      </c>
      <c r="B1002" s="57" t="s">
        <v>247</v>
      </c>
      <c r="C1002" s="57" t="s">
        <v>237</v>
      </c>
      <c r="D1002" s="57" t="s">
        <v>144</v>
      </c>
      <c r="E1002" s="57" t="s">
        <v>252</v>
      </c>
      <c r="F1002">
        <v>5</v>
      </c>
      <c r="G1002">
        <v>294</v>
      </c>
      <c r="H1002" s="11">
        <v>45292</v>
      </c>
      <c r="I1002" s="57" t="s">
        <v>266</v>
      </c>
      <c r="J1002" s="57" t="s">
        <v>143</v>
      </c>
      <c r="K1002" s="57" t="s">
        <v>239</v>
      </c>
      <c r="L1002" t="s">
        <v>302</v>
      </c>
    </row>
    <row r="1003" spans="1:12" x14ac:dyDescent="0.3">
      <c r="A1003" s="57" t="s">
        <v>1266</v>
      </c>
      <c r="B1003" s="57" t="s">
        <v>255</v>
      </c>
      <c r="C1003" s="57" t="s">
        <v>237</v>
      </c>
      <c r="D1003" s="57" t="s">
        <v>152</v>
      </c>
      <c r="E1003" s="57" t="s">
        <v>142</v>
      </c>
      <c r="F1003">
        <v>7</v>
      </c>
      <c r="G1003">
        <v>7000</v>
      </c>
      <c r="H1003" s="11">
        <v>45096</v>
      </c>
      <c r="I1003" s="57" t="s">
        <v>95</v>
      </c>
      <c r="J1003" s="57" t="s">
        <v>145</v>
      </c>
      <c r="K1003" s="57" t="s">
        <v>238</v>
      </c>
      <c r="L1003" t="s">
        <v>243</v>
      </c>
    </row>
    <row r="1004" spans="1:12" x14ac:dyDescent="0.3">
      <c r="A1004" s="57" t="s">
        <v>1267</v>
      </c>
      <c r="B1004" s="57" t="s">
        <v>262</v>
      </c>
      <c r="C1004" s="57" t="s">
        <v>263</v>
      </c>
      <c r="D1004" s="57" t="s">
        <v>238</v>
      </c>
      <c r="E1004" s="57" t="s">
        <v>252</v>
      </c>
      <c r="F1004">
        <v>10</v>
      </c>
      <c r="G1004">
        <v>7000</v>
      </c>
      <c r="H1004" s="11">
        <v>45433</v>
      </c>
      <c r="I1004" s="57" t="s">
        <v>242</v>
      </c>
      <c r="J1004" s="57" t="s">
        <v>145</v>
      </c>
      <c r="K1004" s="57" t="s">
        <v>239</v>
      </c>
      <c r="L1004" t="s">
        <v>243</v>
      </c>
    </row>
    <row r="1005" spans="1:12" x14ac:dyDescent="0.3">
      <c r="A1005" s="57" t="s">
        <v>1268</v>
      </c>
      <c r="B1005" s="57" t="s">
        <v>273</v>
      </c>
      <c r="C1005" s="57" t="s">
        <v>237</v>
      </c>
      <c r="D1005" s="57" t="s">
        <v>238</v>
      </c>
      <c r="E1005" s="57" t="s">
        <v>252</v>
      </c>
      <c r="F1005">
        <v>10</v>
      </c>
      <c r="G1005">
        <v>7000</v>
      </c>
      <c r="H1005" s="11">
        <v>45637</v>
      </c>
      <c r="I1005" s="57" t="s">
        <v>266</v>
      </c>
      <c r="J1005" s="57" t="s">
        <v>145</v>
      </c>
      <c r="K1005" s="57" t="s">
        <v>239</v>
      </c>
      <c r="L1005" t="s">
        <v>243</v>
      </c>
    </row>
    <row r="1006" spans="1:12" x14ac:dyDescent="0.3">
      <c r="A1006" s="57" t="s">
        <v>1269</v>
      </c>
      <c r="B1006" s="57" t="s">
        <v>195</v>
      </c>
      <c r="C1006" s="57" t="s">
        <v>196</v>
      </c>
      <c r="D1006" s="57" t="s">
        <v>148</v>
      </c>
      <c r="E1006" s="57" t="s">
        <v>142</v>
      </c>
      <c r="F1006">
        <v>10</v>
      </c>
      <c r="G1006">
        <v>350</v>
      </c>
      <c r="H1006" s="11">
        <v>45511</v>
      </c>
      <c r="I1006" s="57" t="s">
        <v>242</v>
      </c>
      <c r="J1006" s="57" t="s">
        <v>143</v>
      </c>
      <c r="K1006" s="57" t="s">
        <v>239</v>
      </c>
      <c r="L1006" t="s">
        <v>302</v>
      </c>
    </row>
    <row r="1007" spans="1:12" x14ac:dyDescent="0.3">
      <c r="A1007" s="57" t="s">
        <v>1270</v>
      </c>
      <c r="B1007" s="57" t="s">
        <v>236</v>
      </c>
      <c r="C1007" s="57" t="s">
        <v>237</v>
      </c>
      <c r="D1007" s="57" t="s">
        <v>153</v>
      </c>
      <c r="E1007" s="57" t="s">
        <v>256</v>
      </c>
      <c r="F1007">
        <v>7</v>
      </c>
      <c r="G1007">
        <v>7000</v>
      </c>
      <c r="H1007" s="11">
        <v>45454</v>
      </c>
      <c r="I1007" s="57" t="s">
        <v>257</v>
      </c>
      <c r="J1007" s="57" t="s">
        <v>145</v>
      </c>
      <c r="K1007" s="57" t="s">
        <v>239</v>
      </c>
      <c r="L1007" t="s">
        <v>243</v>
      </c>
    </row>
    <row r="1008" spans="1:12" x14ac:dyDescent="0.3">
      <c r="A1008" s="57" t="s">
        <v>1271</v>
      </c>
      <c r="B1008" s="57" t="s">
        <v>195</v>
      </c>
      <c r="C1008" s="57" t="s">
        <v>196</v>
      </c>
      <c r="D1008" s="57" t="s">
        <v>146</v>
      </c>
      <c r="E1008" s="57" t="s">
        <v>149</v>
      </c>
      <c r="F1008">
        <v>7</v>
      </c>
      <c r="G1008">
        <v>7000</v>
      </c>
      <c r="H1008" s="11">
        <v>45622</v>
      </c>
      <c r="I1008" s="57" t="s">
        <v>242</v>
      </c>
      <c r="J1008" s="57" t="s">
        <v>248</v>
      </c>
      <c r="K1008" s="57" t="s">
        <v>253</v>
      </c>
      <c r="L1008" t="s">
        <v>243</v>
      </c>
    </row>
    <row r="1009" spans="1:12" x14ac:dyDescent="0.3">
      <c r="A1009" s="57" t="s">
        <v>1272</v>
      </c>
      <c r="B1009" s="57" t="s">
        <v>268</v>
      </c>
      <c r="C1009" s="57" t="s">
        <v>269</v>
      </c>
      <c r="D1009" s="57" t="s">
        <v>238</v>
      </c>
      <c r="E1009" s="57" t="s">
        <v>252</v>
      </c>
      <c r="F1009">
        <v>10</v>
      </c>
      <c r="G1009">
        <v>7000</v>
      </c>
      <c r="H1009" s="11">
        <v>45366</v>
      </c>
      <c r="I1009" s="57" t="s">
        <v>92</v>
      </c>
      <c r="J1009" s="57" t="s">
        <v>143</v>
      </c>
      <c r="K1009" s="57" t="s">
        <v>239</v>
      </c>
      <c r="L1009" t="s">
        <v>243</v>
      </c>
    </row>
    <row r="1010" spans="1:12" x14ac:dyDescent="0.3">
      <c r="A1010" s="57" t="s">
        <v>1273</v>
      </c>
      <c r="B1010" s="57" t="s">
        <v>255</v>
      </c>
      <c r="C1010" s="57" t="s">
        <v>237</v>
      </c>
      <c r="D1010" s="57" t="s">
        <v>238</v>
      </c>
      <c r="E1010" s="57" t="s">
        <v>142</v>
      </c>
      <c r="F1010">
        <v>10</v>
      </c>
      <c r="G1010">
        <v>4848</v>
      </c>
      <c r="H1010" s="11">
        <v>45084</v>
      </c>
      <c r="I1010" s="57" t="s">
        <v>266</v>
      </c>
      <c r="J1010" s="57" t="s">
        <v>248</v>
      </c>
      <c r="K1010" s="57" t="s">
        <v>249</v>
      </c>
      <c r="L1010" t="s">
        <v>240</v>
      </c>
    </row>
    <row r="1011" spans="1:12" x14ac:dyDescent="0.3">
      <c r="A1011" s="57" t="s">
        <v>1274</v>
      </c>
      <c r="B1011" s="57" t="s">
        <v>245</v>
      </c>
      <c r="C1011" s="57" t="s">
        <v>237</v>
      </c>
      <c r="D1011" s="57" t="s">
        <v>146</v>
      </c>
      <c r="E1011" s="57" t="s">
        <v>149</v>
      </c>
      <c r="F1011">
        <v>0</v>
      </c>
      <c r="G1011">
        <v>5900</v>
      </c>
      <c r="H1011" s="11">
        <v>45003</v>
      </c>
      <c r="I1011" s="57" t="s">
        <v>266</v>
      </c>
      <c r="J1011" s="57" t="s">
        <v>143</v>
      </c>
      <c r="K1011" s="57" t="s">
        <v>239</v>
      </c>
      <c r="L1011" t="s">
        <v>240</v>
      </c>
    </row>
    <row r="1012" spans="1:12" x14ac:dyDescent="0.3">
      <c r="A1012" s="57" t="s">
        <v>1275</v>
      </c>
      <c r="B1012" s="57" t="s">
        <v>195</v>
      </c>
      <c r="C1012" s="57" t="s">
        <v>196</v>
      </c>
      <c r="D1012" s="57" t="s">
        <v>148</v>
      </c>
      <c r="E1012" s="57" t="s">
        <v>256</v>
      </c>
      <c r="F1012">
        <v>5</v>
      </c>
      <c r="G1012">
        <v>7000</v>
      </c>
      <c r="H1012" s="11">
        <v>45589</v>
      </c>
      <c r="I1012" s="57" t="s">
        <v>257</v>
      </c>
      <c r="J1012" s="57" t="s">
        <v>150</v>
      </c>
      <c r="K1012" s="57" t="s">
        <v>253</v>
      </c>
      <c r="L1012" t="s">
        <v>243</v>
      </c>
    </row>
    <row r="1013" spans="1:12" x14ac:dyDescent="0.3">
      <c r="A1013" s="57" t="s">
        <v>1276</v>
      </c>
      <c r="B1013" s="57" t="s">
        <v>251</v>
      </c>
      <c r="C1013" s="57" t="s">
        <v>237</v>
      </c>
      <c r="D1013" s="57" t="s">
        <v>141</v>
      </c>
      <c r="E1013" s="57" t="s">
        <v>256</v>
      </c>
      <c r="F1013">
        <v>7</v>
      </c>
      <c r="G1013">
        <v>7000</v>
      </c>
      <c r="H1013" s="11">
        <v>45239</v>
      </c>
      <c r="I1013" s="57" t="s">
        <v>257</v>
      </c>
      <c r="J1013" s="57" t="s">
        <v>248</v>
      </c>
      <c r="K1013" s="57" t="s">
        <v>249</v>
      </c>
      <c r="L1013" t="s">
        <v>243</v>
      </c>
    </row>
    <row r="1014" spans="1:12" x14ac:dyDescent="0.3">
      <c r="A1014" s="57" t="s">
        <v>1277</v>
      </c>
      <c r="B1014" s="57" t="s">
        <v>251</v>
      </c>
      <c r="C1014" s="57" t="s">
        <v>237</v>
      </c>
      <c r="D1014" s="57" t="s">
        <v>238</v>
      </c>
      <c r="E1014" s="57" t="s">
        <v>142</v>
      </c>
      <c r="F1014">
        <v>5</v>
      </c>
      <c r="G1014">
        <v>2384</v>
      </c>
      <c r="H1014" s="11">
        <v>45575</v>
      </c>
      <c r="I1014" s="57" t="s">
        <v>89</v>
      </c>
      <c r="J1014" s="57" t="s">
        <v>150</v>
      </c>
      <c r="K1014" s="57" t="s">
        <v>264</v>
      </c>
      <c r="L1014" t="s">
        <v>258</v>
      </c>
    </row>
    <row r="1015" spans="1:12" x14ac:dyDescent="0.3">
      <c r="A1015" s="57" t="s">
        <v>1278</v>
      </c>
      <c r="B1015" s="57" t="s">
        <v>262</v>
      </c>
      <c r="C1015" s="57" t="s">
        <v>263</v>
      </c>
      <c r="D1015" s="57" t="s">
        <v>238</v>
      </c>
      <c r="E1015" s="57" t="s">
        <v>256</v>
      </c>
      <c r="F1015">
        <v>3</v>
      </c>
      <c r="G1015">
        <v>4026</v>
      </c>
      <c r="H1015" s="11">
        <v>45393</v>
      </c>
      <c r="I1015" s="57" t="s">
        <v>92</v>
      </c>
      <c r="J1015" s="57" t="s">
        <v>143</v>
      </c>
      <c r="K1015" s="57" t="s">
        <v>239</v>
      </c>
      <c r="L1015" t="s">
        <v>240</v>
      </c>
    </row>
    <row r="1016" spans="1:12" x14ac:dyDescent="0.3">
      <c r="A1016" s="57" t="s">
        <v>1279</v>
      </c>
      <c r="B1016" s="57" t="s">
        <v>275</v>
      </c>
      <c r="C1016" s="57" t="s">
        <v>276</v>
      </c>
      <c r="D1016" s="57" t="s">
        <v>152</v>
      </c>
      <c r="E1016" s="57" t="s">
        <v>252</v>
      </c>
      <c r="F1016">
        <v>10</v>
      </c>
      <c r="G1016">
        <v>5900</v>
      </c>
      <c r="H1016" s="11">
        <v>45148</v>
      </c>
      <c r="I1016" s="57" t="s">
        <v>291</v>
      </c>
      <c r="J1016" s="57" t="s">
        <v>145</v>
      </c>
      <c r="K1016" s="57" t="s">
        <v>253</v>
      </c>
      <c r="L1016" t="s">
        <v>240</v>
      </c>
    </row>
    <row r="1017" spans="1:12" x14ac:dyDescent="0.3">
      <c r="A1017" s="57" t="s">
        <v>1280</v>
      </c>
      <c r="B1017" s="57" t="s">
        <v>273</v>
      </c>
      <c r="C1017" s="57" t="s">
        <v>237</v>
      </c>
      <c r="D1017" s="57" t="s">
        <v>141</v>
      </c>
      <c r="E1017" s="57" t="s">
        <v>256</v>
      </c>
      <c r="F1017">
        <v>5</v>
      </c>
      <c r="G1017">
        <v>7000</v>
      </c>
      <c r="H1017" s="11">
        <v>45435</v>
      </c>
      <c r="I1017" s="57" t="s">
        <v>89</v>
      </c>
      <c r="J1017" s="57" t="s">
        <v>147</v>
      </c>
      <c r="K1017" s="57" t="s">
        <v>253</v>
      </c>
      <c r="L1017" t="s">
        <v>243</v>
      </c>
    </row>
    <row r="1018" spans="1:12" x14ac:dyDescent="0.3">
      <c r="A1018" s="57" t="s">
        <v>1281</v>
      </c>
      <c r="B1018" s="57" t="s">
        <v>236</v>
      </c>
      <c r="C1018" s="57" t="s">
        <v>237</v>
      </c>
      <c r="D1018" s="57" t="s">
        <v>151</v>
      </c>
      <c r="E1018" s="57" t="s">
        <v>252</v>
      </c>
      <c r="F1018">
        <v>0</v>
      </c>
      <c r="G1018">
        <v>7000</v>
      </c>
      <c r="H1018" s="11">
        <v>44940</v>
      </c>
      <c r="I1018" s="57" t="s">
        <v>291</v>
      </c>
      <c r="J1018" s="57" t="s">
        <v>150</v>
      </c>
      <c r="K1018" s="57" t="s">
        <v>239</v>
      </c>
      <c r="L1018" t="s">
        <v>243</v>
      </c>
    </row>
    <row r="1019" spans="1:12" x14ac:dyDescent="0.3">
      <c r="A1019" s="57" t="s">
        <v>1282</v>
      </c>
      <c r="B1019" s="57" t="s">
        <v>247</v>
      </c>
      <c r="C1019" s="57" t="s">
        <v>237</v>
      </c>
      <c r="D1019" s="57" t="s">
        <v>144</v>
      </c>
      <c r="E1019" s="57" t="s">
        <v>149</v>
      </c>
      <c r="F1019">
        <v>7</v>
      </c>
      <c r="G1019">
        <v>5900</v>
      </c>
      <c r="H1019" s="11">
        <v>44960</v>
      </c>
      <c r="I1019" s="57" t="s">
        <v>257</v>
      </c>
      <c r="J1019" s="57" t="s">
        <v>145</v>
      </c>
      <c r="K1019" s="57" t="s">
        <v>197</v>
      </c>
      <c r="L1019" t="s">
        <v>240</v>
      </c>
    </row>
    <row r="1020" spans="1:12" x14ac:dyDescent="0.3">
      <c r="A1020" s="57" t="s">
        <v>1283</v>
      </c>
      <c r="B1020" s="57" t="s">
        <v>273</v>
      </c>
      <c r="C1020" s="57" t="s">
        <v>237</v>
      </c>
      <c r="D1020" s="57" t="s">
        <v>152</v>
      </c>
      <c r="E1020" s="57" t="s">
        <v>260</v>
      </c>
      <c r="F1020">
        <v>7</v>
      </c>
      <c r="G1020">
        <v>7000</v>
      </c>
      <c r="H1020" s="11">
        <v>44941</v>
      </c>
      <c r="I1020" s="57" t="s">
        <v>89</v>
      </c>
      <c r="J1020" s="57" t="s">
        <v>143</v>
      </c>
      <c r="K1020" s="57" t="s">
        <v>197</v>
      </c>
      <c r="L1020" t="s">
        <v>243</v>
      </c>
    </row>
    <row r="1021" spans="1:12" x14ac:dyDescent="0.3">
      <c r="A1021" s="57" t="s">
        <v>1284</v>
      </c>
      <c r="B1021" s="57" t="s">
        <v>251</v>
      </c>
      <c r="C1021" s="57" t="s">
        <v>237</v>
      </c>
      <c r="D1021" s="57" t="s">
        <v>238</v>
      </c>
      <c r="E1021" s="57" t="s">
        <v>252</v>
      </c>
      <c r="F1021">
        <v>10</v>
      </c>
      <c r="G1021">
        <v>7000</v>
      </c>
      <c r="H1021" s="11">
        <v>44987</v>
      </c>
      <c r="I1021" s="57" t="s">
        <v>291</v>
      </c>
      <c r="J1021" s="57" t="s">
        <v>147</v>
      </c>
      <c r="K1021" s="57" t="s">
        <v>264</v>
      </c>
      <c r="L1021" t="s">
        <v>243</v>
      </c>
    </row>
    <row r="1022" spans="1:12" x14ac:dyDescent="0.3">
      <c r="A1022" s="57" t="s">
        <v>1285</v>
      </c>
      <c r="B1022" s="57" t="s">
        <v>251</v>
      </c>
      <c r="C1022" s="57" t="s">
        <v>237</v>
      </c>
      <c r="D1022" s="57" t="s">
        <v>148</v>
      </c>
      <c r="E1022" s="57" t="s">
        <v>252</v>
      </c>
      <c r="F1022">
        <v>0</v>
      </c>
      <c r="G1022">
        <v>5900</v>
      </c>
      <c r="H1022" s="11">
        <v>45103</v>
      </c>
      <c r="I1022" s="57" t="s">
        <v>89</v>
      </c>
      <c r="J1022" s="57" t="s">
        <v>147</v>
      </c>
      <c r="K1022" s="57" t="s">
        <v>253</v>
      </c>
      <c r="L1022" t="s">
        <v>240</v>
      </c>
    </row>
    <row r="1023" spans="1:12" x14ac:dyDescent="0.3">
      <c r="A1023" s="57" t="s">
        <v>1286</v>
      </c>
      <c r="B1023" s="57" t="s">
        <v>195</v>
      </c>
      <c r="C1023" s="57" t="s">
        <v>196</v>
      </c>
      <c r="D1023" s="57" t="s">
        <v>238</v>
      </c>
      <c r="E1023" s="57" t="s">
        <v>256</v>
      </c>
      <c r="F1023">
        <v>7</v>
      </c>
      <c r="G1023">
        <v>1109</v>
      </c>
      <c r="H1023" s="11">
        <v>45063</v>
      </c>
      <c r="I1023" s="57" t="s">
        <v>257</v>
      </c>
      <c r="J1023" s="57" t="s">
        <v>145</v>
      </c>
      <c r="K1023" s="57" t="s">
        <v>253</v>
      </c>
      <c r="L1023" t="s">
        <v>258</v>
      </c>
    </row>
    <row r="1024" spans="1:12" x14ac:dyDescent="0.3">
      <c r="A1024" s="57" t="s">
        <v>1287</v>
      </c>
      <c r="B1024" s="57" t="s">
        <v>247</v>
      </c>
      <c r="C1024" s="57" t="s">
        <v>237</v>
      </c>
      <c r="D1024" s="57" t="s">
        <v>238</v>
      </c>
      <c r="E1024" s="57" t="s">
        <v>149</v>
      </c>
      <c r="F1024">
        <v>5</v>
      </c>
      <c r="G1024">
        <v>7000</v>
      </c>
      <c r="H1024" s="11">
        <v>45350</v>
      </c>
      <c r="I1024" s="57" t="s">
        <v>266</v>
      </c>
      <c r="J1024" s="57" t="s">
        <v>147</v>
      </c>
      <c r="K1024" s="57" t="s">
        <v>253</v>
      </c>
      <c r="L1024" t="s">
        <v>243</v>
      </c>
    </row>
    <row r="1025" spans="1:12" x14ac:dyDescent="0.3">
      <c r="A1025" s="57" t="s">
        <v>1288</v>
      </c>
      <c r="B1025" s="57" t="s">
        <v>236</v>
      </c>
      <c r="C1025" s="57" t="s">
        <v>237</v>
      </c>
      <c r="D1025" s="57" t="s">
        <v>146</v>
      </c>
      <c r="E1025" s="57" t="s">
        <v>149</v>
      </c>
      <c r="F1025">
        <v>10</v>
      </c>
      <c r="G1025">
        <v>7000</v>
      </c>
      <c r="H1025" s="11">
        <v>45111</v>
      </c>
      <c r="I1025" s="57" t="s">
        <v>291</v>
      </c>
      <c r="J1025" s="57" t="s">
        <v>248</v>
      </c>
      <c r="K1025" s="57" t="s">
        <v>197</v>
      </c>
      <c r="L1025" t="s">
        <v>243</v>
      </c>
    </row>
    <row r="1026" spans="1:12" x14ac:dyDescent="0.3">
      <c r="A1026" s="57" t="s">
        <v>1289</v>
      </c>
      <c r="B1026" s="57" t="s">
        <v>236</v>
      </c>
      <c r="C1026" s="57" t="s">
        <v>237</v>
      </c>
      <c r="D1026" s="57" t="s">
        <v>153</v>
      </c>
      <c r="E1026" s="57" t="s">
        <v>260</v>
      </c>
      <c r="F1026">
        <v>6</v>
      </c>
      <c r="G1026">
        <v>330</v>
      </c>
      <c r="H1026" s="11">
        <v>44953</v>
      </c>
      <c r="I1026" s="57" t="s">
        <v>291</v>
      </c>
      <c r="J1026" s="57" t="s">
        <v>150</v>
      </c>
      <c r="K1026" s="57" t="s">
        <v>238</v>
      </c>
      <c r="L1026" t="s">
        <v>302</v>
      </c>
    </row>
    <row r="1027" spans="1:12" x14ac:dyDescent="0.3">
      <c r="A1027" s="57" t="s">
        <v>1290</v>
      </c>
      <c r="B1027" s="57" t="s">
        <v>247</v>
      </c>
      <c r="C1027" s="57" t="s">
        <v>237</v>
      </c>
      <c r="D1027" s="57" t="s">
        <v>144</v>
      </c>
      <c r="E1027" s="57" t="s">
        <v>260</v>
      </c>
      <c r="F1027">
        <v>4</v>
      </c>
      <c r="G1027">
        <v>5900</v>
      </c>
      <c r="H1027" s="11">
        <v>45032</v>
      </c>
      <c r="I1027" s="57" t="s">
        <v>89</v>
      </c>
      <c r="J1027" s="57" t="s">
        <v>150</v>
      </c>
      <c r="K1027" s="57" t="s">
        <v>239</v>
      </c>
      <c r="L1027" t="s">
        <v>240</v>
      </c>
    </row>
    <row r="1028" spans="1:12" x14ac:dyDescent="0.3">
      <c r="A1028" s="57" t="s">
        <v>1291</v>
      </c>
      <c r="B1028" s="57" t="s">
        <v>255</v>
      </c>
      <c r="C1028" s="57" t="s">
        <v>237</v>
      </c>
      <c r="D1028" s="57" t="s">
        <v>238</v>
      </c>
      <c r="E1028" s="57" t="s">
        <v>260</v>
      </c>
      <c r="F1028">
        <v>0</v>
      </c>
      <c r="G1028">
        <v>7000</v>
      </c>
      <c r="H1028" s="11">
        <v>45515</v>
      </c>
      <c r="I1028" s="57" t="s">
        <v>266</v>
      </c>
      <c r="J1028" s="57" t="s">
        <v>150</v>
      </c>
      <c r="K1028" s="57" t="s">
        <v>249</v>
      </c>
      <c r="L1028" t="s">
        <v>243</v>
      </c>
    </row>
    <row r="1029" spans="1:12" x14ac:dyDescent="0.3">
      <c r="A1029" s="57" t="s">
        <v>1292</v>
      </c>
      <c r="B1029" s="57" t="s">
        <v>245</v>
      </c>
      <c r="C1029" s="57" t="s">
        <v>237</v>
      </c>
      <c r="D1029" s="57" t="s">
        <v>141</v>
      </c>
      <c r="E1029" s="57" t="s">
        <v>260</v>
      </c>
      <c r="F1029">
        <v>0</v>
      </c>
      <c r="G1029">
        <v>7000</v>
      </c>
      <c r="H1029" s="11">
        <v>45038</v>
      </c>
      <c r="I1029" s="57" t="s">
        <v>92</v>
      </c>
      <c r="J1029" s="57" t="s">
        <v>143</v>
      </c>
      <c r="K1029" s="57" t="s">
        <v>239</v>
      </c>
      <c r="L1029" t="s">
        <v>243</v>
      </c>
    </row>
    <row r="1030" spans="1:12" x14ac:dyDescent="0.3">
      <c r="A1030" s="57" t="s">
        <v>1293</v>
      </c>
      <c r="B1030" s="57" t="s">
        <v>245</v>
      </c>
      <c r="C1030" s="57" t="s">
        <v>237</v>
      </c>
      <c r="D1030" s="57" t="s">
        <v>238</v>
      </c>
      <c r="E1030" s="57" t="s">
        <v>142</v>
      </c>
      <c r="F1030">
        <v>10</v>
      </c>
      <c r="G1030">
        <v>7000</v>
      </c>
      <c r="H1030" s="11">
        <v>45402</v>
      </c>
      <c r="I1030" s="57" t="s">
        <v>89</v>
      </c>
      <c r="J1030" s="57" t="s">
        <v>145</v>
      </c>
      <c r="K1030" s="57" t="s">
        <v>264</v>
      </c>
      <c r="L1030" t="s">
        <v>243</v>
      </c>
    </row>
    <row r="1031" spans="1:12" x14ac:dyDescent="0.3">
      <c r="A1031" s="57" t="s">
        <v>1294</v>
      </c>
      <c r="B1031" s="57" t="s">
        <v>273</v>
      </c>
      <c r="C1031" s="57" t="s">
        <v>237</v>
      </c>
      <c r="D1031" s="57" t="s">
        <v>148</v>
      </c>
      <c r="E1031" s="57" t="s">
        <v>252</v>
      </c>
      <c r="F1031">
        <v>4</v>
      </c>
      <c r="G1031">
        <v>4886</v>
      </c>
      <c r="H1031" s="11">
        <v>44944</v>
      </c>
      <c r="I1031" s="57" t="s">
        <v>242</v>
      </c>
      <c r="J1031" s="57" t="s">
        <v>143</v>
      </c>
      <c r="K1031" s="57" t="s">
        <v>238</v>
      </c>
      <c r="L1031" t="s">
        <v>240</v>
      </c>
    </row>
    <row r="1032" spans="1:12" x14ac:dyDescent="0.3">
      <c r="A1032" s="57" t="s">
        <v>1295</v>
      </c>
      <c r="B1032" s="57" t="s">
        <v>195</v>
      </c>
      <c r="C1032" s="57" t="s">
        <v>196</v>
      </c>
      <c r="D1032" s="57" t="s">
        <v>153</v>
      </c>
      <c r="E1032" s="57" t="s">
        <v>256</v>
      </c>
      <c r="F1032">
        <v>7</v>
      </c>
      <c r="G1032">
        <v>5900</v>
      </c>
      <c r="H1032" s="11">
        <v>44940</v>
      </c>
      <c r="I1032" s="57" t="s">
        <v>89</v>
      </c>
      <c r="J1032" s="57" t="s">
        <v>248</v>
      </c>
      <c r="K1032" s="57" t="s">
        <v>238</v>
      </c>
      <c r="L1032" t="s">
        <v>240</v>
      </c>
    </row>
    <row r="1033" spans="1:12" x14ac:dyDescent="0.3">
      <c r="A1033" s="57" t="s">
        <v>1296</v>
      </c>
      <c r="B1033" s="57" t="s">
        <v>268</v>
      </c>
      <c r="C1033" s="57" t="s">
        <v>269</v>
      </c>
      <c r="D1033" s="57" t="s">
        <v>238</v>
      </c>
      <c r="E1033" s="57" t="s">
        <v>256</v>
      </c>
      <c r="F1033">
        <v>4</v>
      </c>
      <c r="G1033">
        <v>290</v>
      </c>
      <c r="H1033" s="11">
        <v>45344</v>
      </c>
      <c r="I1033" s="57" t="s">
        <v>257</v>
      </c>
      <c r="J1033" s="57" t="s">
        <v>143</v>
      </c>
      <c r="K1033" s="57" t="s">
        <v>264</v>
      </c>
      <c r="L1033" t="s">
        <v>302</v>
      </c>
    </row>
    <row r="1034" spans="1:12" x14ac:dyDescent="0.3">
      <c r="A1034" s="57" t="s">
        <v>1297</v>
      </c>
      <c r="B1034" s="57" t="s">
        <v>245</v>
      </c>
      <c r="C1034" s="57" t="s">
        <v>237</v>
      </c>
      <c r="D1034" s="57" t="s">
        <v>238</v>
      </c>
      <c r="E1034" s="57" t="s">
        <v>252</v>
      </c>
      <c r="F1034">
        <v>6</v>
      </c>
      <c r="G1034">
        <v>7000</v>
      </c>
      <c r="H1034" s="11">
        <v>45423</v>
      </c>
      <c r="I1034" s="57" t="s">
        <v>92</v>
      </c>
      <c r="J1034" s="57" t="s">
        <v>147</v>
      </c>
      <c r="K1034" s="57" t="s">
        <v>264</v>
      </c>
      <c r="L1034" t="s">
        <v>243</v>
      </c>
    </row>
    <row r="1035" spans="1:12" x14ac:dyDescent="0.3">
      <c r="A1035" s="57" t="s">
        <v>1298</v>
      </c>
      <c r="B1035" s="57" t="s">
        <v>262</v>
      </c>
      <c r="C1035" s="57" t="s">
        <v>263</v>
      </c>
      <c r="D1035" s="57" t="s">
        <v>238</v>
      </c>
      <c r="E1035" s="57" t="s">
        <v>260</v>
      </c>
      <c r="F1035">
        <v>7</v>
      </c>
      <c r="G1035">
        <v>1322</v>
      </c>
      <c r="H1035" s="11">
        <v>44968</v>
      </c>
      <c r="I1035" s="57" t="s">
        <v>291</v>
      </c>
      <c r="J1035" s="57" t="s">
        <v>248</v>
      </c>
      <c r="K1035" s="57" t="s">
        <v>197</v>
      </c>
      <c r="L1035" t="s">
        <v>258</v>
      </c>
    </row>
    <row r="1036" spans="1:12" x14ac:dyDescent="0.3">
      <c r="A1036" s="57" t="s">
        <v>1299</v>
      </c>
      <c r="B1036" s="57" t="s">
        <v>247</v>
      </c>
      <c r="C1036" s="57" t="s">
        <v>237</v>
      </c>
      <c r="D1036" s="57" t="s">
        <v>141</v>
      </c>
      <c r="E1036" s="57" t="s">
        <v>260</v>
      </c>
      <c r="F1036">
        <v>10</v>
      </c>
      <c r="G1036">
        <v>7000</v>
      </c>
      <c r="H1036" s="11">
        <v>45185</v>
      </c>
      <c r="I1036" s="57" t="s">
        <v>257</v>
      </c>
      <c r="J1036" s="57" t="s">
        <v>150</v>
      </c>
      <c r="K1036" s="57" t="s">
        <v>264</v>
      </c>
      <c r="L1036" t="s">
        <v>243</v>
      </c>
    </row>
    <row r="1037" spans="1:12" x14ac:dyDescent="0.3">
      <c r="A1037" s="57" t="s">
        <v>1300</v>
      </c>
      <c r="B1037" s="57" t="s">
        <v>247</v>
      </c>
      <c r="C1037" s="57" t="s">
        <v>237</v>
      </c>
      <c r="D1037" s="57" t="s">
        <v>152</v>
      </c>
      <c r="E1037" s="57" t="s">
        <v>142</v>
      </c>
      <c r="F1037">
        <v>0</v>
      </c>
      <c r="G1037">
        <v>7000</v>
      </c>
      <c r="H1037" s="11">
        <v>45597</v>
      </c>
      <c r="I1037" s="57" t="s">
        <v>92</v>
      </c>
      <c r="J1037" s="57" t="s">
        <v>145</v>
      </c>
      <c r="K1037" s="57" t="s">
        <v>197</v>
      </c>
      <c r="L1037" t="s">
        <v>243</v>
      </c>
    </row>
    <row r="1038" spans="1:12" x14ac:dyDescent="0.3">
      <c r="A1038" s="57" t="s">
        <v>1301</v>
      </c>
      <c r="B1038" s="57" t="s">
        <v>247</v>
      </c>
      <c r="C1038" s="57" t="s">
        <v>237</v>
      </c>
      <c r="D1038" s="57" t="s">
        <v>238</v>
      </c>
      <c r="E1038" s="57" t="s">
        <v>252</v>
      </c>
      <c r="F1038">
        <v>0</v>
      </c>
      <c r="G1038">
        <v>5900</v>
      </c>
      <c r="H1038" s="11">
        <v>45430</v>
      </c>
      <c r="I1038" s="57" t="s">
        <v>266</v>
      </c>
      <c r="J1038" s="57" t="s">
        <v>150</v>
      </c>
      <c r="K1038" s="57" t="s">
        <v>197</v>
      </c>
      <c r="L1038" t="s">
        <v>240</v>
      </c>
    </row>
    <row r="1039" spans="1:12" x14ac:dyDescent="0.3">
      <c r="A1039" s="57" t="s">
        <v>1302</v>
      </c>
      <c r="B1039" s="57" t="s">
        <v>251</v>
      </c>
      <c r="C1039" s="57" t="s">
        <v>237</v>
      </c>
      <c r="D1039" s="57" t="s">
        <v>141</v>
      </c>
      <c r="E1039" s="57" t="s">
        <v>252</v>
      </c>
      <c r="F1039">
        <v>0</v>
      </c>
      <c r="G1039">
        <v>5900</v>
      </c>
      <c r="H1039" s="11">
        <v>45587</v>
      </c>
      <c r="I1039" s="57" t="s">
        <v>95</v>
      </c>
      <c r="J1039" s="57" t="s">
        <v>248</v>
      </c>
      <c r="K1039" s="57" t="s">
        <v>239</v>
      </c>
      <c r="L1039" t="s">
        <v>240</v>
      </c>
    </row>
    <row r="1040" spans="1:12" x14ac:dyDescent="0.3">
      <c r="A1040" s="57" t="s">
        <v>1303</v>
      </c>
      <c r="B1040" s="57" t="s">
        <v>255</v>
      </c>
      <c r="C1040" s="57" t="s">
        <v>237</v>
      </c>
      <c r="D1040" s="57" t="s">
        <v>153</v>
      </c>
      <c r="E1040" s="57" t="s">
        <v>256</v>
      </c>
      <c r="F1040">
        <v>10</v>
      </c>
      <c r="G1040">
        <v>7000</v>
      </c>
      <c r="H1040" s="11">
        <v>45214</v>
      </c>
      <c r="I1040" s="57" t="s">
        <v>92</v>
      </c>
      <c r="J1040" s="57" t="s">
        <v>145</v>
      </c>
      <c r="K1040" s="57" t="s">
        <v>197</v>
      </c>
      <c r="L1040" t="s">
        <v>243</v>
      </c>
    </row>
    <row r="1041" spans="1:12" x14ac:dyDescent="0.3">
      <c r="A1041" s="57" t="s">
        <v>1304</v>
      </c>
      <c r="B1041" s="57" t="s">
        <v>268</v>
      </c>
      <c r="C1041" s="57" t="s">
        <v>269</v>
      </c>
      <c r="D1041" s="57" t="s">
        <v>238</v>
      </c>
      <c r="E1041" s="57" t="s">
        <v>142</v>
      </c>
      <c r="F1041">
        <v>10</v>
      </c>
      <c r="G1041">
        <v>5900</v>
      </c>
      <c r="H1041" s="11">
        <v>45201</v>
      </c>
      <c r="I1041" s="57" t="s">
        <v>92</v>
      </c>
      <c r="J1041" s="57" t="s">
        <v>143</v>
      </c>
      <c r="K1041" s="57" t="s">
        <v>238</v>
      </c>
      <c r="L1041" t="s">
        <v>240</v>
      </c>
    </row>
    <row r="1042" spans="1:12" x14ac:dyDescent="0.3">
      <c r="A1042" s="57" t="s">
        <v>1305</v>
      </c>
      <c r="B1042" s="57" t="s">
        <v>275</v>
      </c>
      <c r="C1042" s="57" t="s">
        <v>276</v>
      </c>
      <c r="D1042" s="57" t="s">
        <v>238</v>
      </c>
      <c r="E1042" s="57" t="s">
        <v>252</v>
      </c>
      <c r="F1042">
        <v>2</v>
      </c>
      <c r="G1042">
        <v>7000</v>
      </c>
      <c r="H1042" s="11">
        <v>45382</v>
      </c>
      <c r="I1042" s="57" t="s">
        <v>92</v>
      </c>
      <c r="J1042" s="57" t="s">
        <v>147</v>
      </c>
      <c r="K1042" s="57" t="s">
        <v>197</v>
      </c>
      <c r="L1042" t="s">
        <v>243</v>
      </c>
    </row>
    <row r="1043" spans="1:12" x14ac:dyDescent="0.3">
      <c r="A1043" s="57" t="s">
        <v>1306</v>
      </c>
      <c r="B1043" s="57" t="s">
        <v>236</v>
      </c>
      <c r="C1043" s="57" t="s">
        <v>237</v>
      </c>
      <c r="D1043" s="57" t="s">
        <v>144</v>
      </c>
      <c r="E1043" s="57" t="s">
        <v>142</v>
      </c>
      <c r="F1043">
        <v>0</v>
      </c>
      <c r="G1043">
        <v>5900</v>
      </c>
      <c r="H1043" s="11">
        <v>45193</v>
      </c>
      <c r="I1043" s="57" t="s">
        <v>242</v>
      </c>
      <c r="J1043" s="57" t="s">
        <v>145</v>
      </c>
      <c r="K1043" s="57" t="s">
        <v>238</v>
      </c>
      <c r="L1043" t="s">
        <v>240</v>
      </c>
    </row>
    <row r="1044" spans="1:12" x14ac:dyDescent="0.3">
      <c r="A1044" s="57" t="s">
        <v>1307</v>
      </c>
      <c r="B1044" s="57" t="s">
        <v>236</v>
      </c>
      <c r="C1044" s="57" t="s">
        <v>237</v>
      </c>
      <c r="D1044" s="57" t="s">
        <v>144</v>
      </c>
      <c r="E1044" s="57" t="s">
        <v>149</v>
      </c>
      <c r="F1044">
        <v>0</v>
      </c>
      <c r="G1044">
        <v>7000</v>
      </c>
      <c r="H1044" s="11">
        <v>45149</v>
      </c>
      <c r="I1044" s="57" t="s">
        <v>257</v>
      </c>
      <c r="J1044" s="57" t="s">
        <v>150</v>
      </c>
      <c r="K1044" s="57" t="s">
        <v>238</v>
      </c>
      <c r="L1044" t="s">
        <v>243</v>
      </c>
    </row>
    <row r="1045" spans="1:12" x14ac:dyDescent="0.3">
      <c r="A1045" s="57" t="s">
        <v>1308</v>
      </c>
      <c r="B1045" s="57" t="s">
        <v>262</v>
      </c>
      <c r="C1045" s="57" t="s">
        <v>263</v>
      </c>
      <c r="D1045" s="57" t="s">
        <v>151</v>
      </c>
      <c r="E1045" s="57" t="s">
        <v>256</v>
      </c>
      <c r="F1045">
        <v>7</v>
      </c>
      <c r="G1045">
        <v>7000</v>
      </c>
      <c r="H1045" s="11">
        <v>45407</v>
      </c>
      <c r="I1045" s="57" t="s">
        <v>100</v>
      </c>
      <c r="J1045" s="57" t="s">
        <v>145</v>
      </c>
      <c r="K1045" s="57" t="s">
        <v>253</v>
      </c>
      <c r="L1045" t="s">
        <v>243</v>
      </c>
    </row>
    <row r="1046" spans="1:12" x14ac:dyDescent="0.3">
      <c r="A1046" s="57" t="s">
        <v>1309</v>
      </c>
      <c r="B1046" s="57" t="s">
        <v>245</v>
      </c>
      <c r="C1046" s="57" t="s">
        <v>237</v>
      </c>
      <c r="D1046" s="57" t="s">
        <v>151</v>
      </c>
      <c r="E1046" s="57" t="s">
        <v>142</v>
      </c>
      <c r="F1046">
        <v>10</v>
      </c>
      <c r="G1046">
        <v>5900</v>
      </c>
      <c r="H1046" s="11">
        <v>45018</v>
      </c>
      <c r="I1046" s="57" t="s">
        <v>291</v>
      </c>
      <c r="J1046" s="57" t="s">
        <v>147</v>
      </c>
      <c r="K1046" s="57" t="s">
        <v>197</v>
      </c>
      <c r="L1046" t="s">
        <v>240</v>
      </c>
    </row>
    <row r="1047" spans="1:12" x14ac:dyDescent="0.3">
      <c r="A1047" s="57" t="s">
        <v>1310</v>
      </c>
      <c r="B1047" s="57" t="s">
        <v>275</v>
      </c>
      <c r="C1047" s="57" t="s">
        <v>276</v>
      </c>
      <c r="D1047" s="57" t="s">
        <v>238</v>
      </c>
      <c r="E1047" s="57" t="s">
        <v>142</v>
      </c>
      <c r="F1047">
        <v>7</v>
      </c>
      <c r="G1047">
        <v>4040</v>
      </c>
      <c r="H1047" s="11">
        <v>45349</v>
      </c>
      <c r="I1047" s="57" t="s">
        <v>89</v>
      </c>
      <c r="J1047" s="57" t="s">
        <v>143</v>
      </c>
      <c r="K1047" s="57" t="s">
        <v>239</v>
      </c>
      <c r="L1047" t="s">
        <v>240</v>
      </c>
    </row>
    <row r="1048" spans="1:12" x14ac:dyDescent="0.3">
      <c r="A1048" s="57" t="s">
        <v>1311</v>
      </c>
      <c r="B1048" s="57" t="s">
        <v>251</v>
      </c>
      <c r="C1048" s="57" t="s">
        <v>237</v>
      </c>
      <c r="D1048" s="57" t="s">
        <v>238</v>
      </c>
      <c r="E1048" s="57" t="s">
        <v>260</v>
      </c>
      <c r="F1048">
        <v>6</v>
      </c>
      <c r="G1048">
        <v>4586</v>
      </c>
      <c r="H1048" s="11">
        <v>45079</v>
      </c>
      <c r="I1048" s="57" t="s">
        <v>266</v>
      </c>
      <c r="J1048" s="57" t="s">
        <v>143</v>
      </c>
      <c r="K1048" s="57" t="s">
        <v>238</v>
      </c>
      <c r="L1048" t="s">
        <v>240</v>
      </c>
    </row>
    <row r="1049" spans="1:12" x14ac:dyDescent="0.3">
      <c r="A1049" s="57" t="s">
        <v>1312</v>
      </c>
      <c r="B1049" s="57" t="s">
        <v>262</v>
      </c>
      <c r="C1049" s="57" t="s">
        <v>263</v>
      </c>
      <c r="D1049" s="57" t="s">
        <v>151</v>
      </c>
      <c r="E1049" s="57" t="s">
        <v>256</v>
      </c>
      <c r="F1049">
        <v>7</v>
      </c>
      <c r="G1049">
        <v>5900</v>
      </c>
      <c r="H1049" s="11">
        <v>45425</v>
      </c>
      <c r="I1049" s="57" t="s">
        <v>266</v>
      </c>
      <c r="J1049" s="57" t="s">
        <v>145</v>
      </c>
      <c r="K1049" s="57" t="s">
        <v>239</v>
      </c>
      <c r="L1049" t="s">
        <v>240</v>
      </c>
    </row>
    <row r="1050" spans="1:12" x14ac:dyDescent="0.3">
      <c r="A1050" s="57" t="s">
        <v>1313</v>
      </c>
      <c r="B1050" s="57" t="s">
        <v>268</v>
      </c>
      <c r="C1050" s="57" t="s">
        <v>269</v>
      </c>
      <c r="D1050" s="57" t="s">
        <v>238</v>
      </c>
      <c r="E1050" s="57" t="s">
        <v>252</v>
      </c>
      <c r="F1050">
        <v>7</v>
      </c>
      <c r="G1050">
        <v>5900</v>
      </c>
      <c r="H1050" s="11">
        <v>45468</v>
      </c>
      <c r="I1050" s="57" t="s">
        <v>95</v>
      </c>
      <c r="J1050" s="57" t="s">
        <v>147</v>
      </c>
      <c r="K1050" s="57" t="s">
        <v>238</v>
      </c>
      <c r="L1050" t="s">
        <v>240</v>
      </c>
    </row>
    <row r="1051" spans="1:12" x14ac:dyDescent="0.3">
      <c r="A1051" s="57" t="s">
        <v>1314</v>
      </c>
      <c r="B1051" s="57" t="s">
        <v>255</v>
      </c>
      <c r="C1051" s="57" t="s">
        <v>237</v>
      </c>
      <c r="D1051" s="57" t="s">
        <v>153</v>
      </c>
      <c r="E1051" s="57" t="s">
        <v>252</v>
      </c>
      <c r="F1051">
        <v>5</v>
      </c>
      <c r="G1051">
        <v>3725</v>
      </c>
      <c r="H1051" s="11">
        <v>44944</v>
      </c>
      <c r="I1051" s="57" t="s">
        <v>92</v>
      </c>
      <c r="J1051" s="57" t="s">
        <v>150</v>
      </c>
      <c r="K1051" s="57" t="s">
        <v>239</v>
      </c>
      <c r="L1051" t="s">
        <v>258</v>
      </c>
    </row>
    <row r="1052" spans="1:12" x14ac:dyDescent="0.3">
      <c r="A1052" s="57" t="s">
        <v>1315</v>
      </c>
      <c r="B1052" s="57" t="s">
        <v>236</v>
      </c>
      <c r="C1052" s="57" t="s">
        <v>237</v>
      </c>
      <c r="D1052" s="57" t="s">
        <v>148</v>
      </c>
      <c r="E1052" s="57" t="s">
        <v>252</v>
      </c>
      <c r="F1052">
        <v>7</v>
      </c>
      <c r="G1052">
        <v>7000</v>
      </c>
      <c r="H1052" s="11">
        <v>45365</v>
      </c>
      <c r="I1052" s="57" t="s">
        <v>242</v>
      </c>
      <c r="J1052" s="57" t="s">
        <v>143</v>
      </c>
      <c r="K1052" s="57" t="s">
        <v>239</v>
      </c>
      <c r="L1052" t="s">
        <v>243</v>
      </c>
    </row>
    <row r="1053" spans="1:12" x14ac:dyDescent="0.3">
      <c r="A1053" s="57" t="s">
        <v>1316</v>
      </c>
      <c r="B1053" s="57" t="s">
        <v>275</v>
      </c>
      <c r="C1053" s="57" t="s">
        <v>276</v>
      </c>
      <c r="D1053" s="57" t="s">
        <v>238</v>
      </c>
      <c r="E1053" s="57" t="s">
        <v>149</v>
      </c>
      <c r="F1053">
        <v>5</v>
      </c>
      <c r="G1053">
        <v>5900</v>
      </c>
      <c r="H1053" s="11">
        <v>45077</v>
      </c>
      <c r="I1053" s="57" t="s">
        <v>242</v>
      </c>
      <c r="J1053" s="57" t="s">
        <v>150</v>
      </c>
      <c r="K1053" s="57" t="s">
        <v>238</v>
      </c>
      <c r="L1053" t="s">
        <v>240</v>
      </c>
    </row>
    <row r="1054" spans="1:12" x14ac:dyDescent="0.3">
      <c r="A1054" s="57" t="s">
        <v>1317</v>
      </c>
      <c r="B1054" s="57" t="s">
        <v>245</v>
      </c>
      <c r="C1054" s="57" t="s">
        <v>237</v>
      </c>
      <c r="D1054" s="57" t="s">
        <v>151</v>
      </c>
      <c r="E1054" s="57" t="s">
        <v>256</v>
      </c>
      <c r="F1054">
        <v>0</v>
      </c>
      <c r="G1054">
        <v>7000</v>
      </c>
      <c r="H1054" s="11">
        <v>45075</v>
      </c>
      <c r="I1054" s="57" t="s">
        <v>291</v>
      </c>
      <c r="J1054" s="57" t="s">
        <v>145</v>
      </c>
      <c r="K1054" s="57" t="s">
        <v>238</v>
      </c>
      <c r="L1054" t="s">
        <v>243</v>
      </c>
    </row>
    <row r="1055" spans="1:12" x14ac:dyDescent="0.3">
      <c r="A1055" s="57" t="s">
        <v>1318</v>
      </c>
      <c r="B1055" s="57" t="s">
        <v>247</v>
      </c>
      <c r="C1055" s="57" t="s">
        <v>237</v>
      </c>
      <c r="D1055" s="57" t="s">
        <v>144</v>
      </c>
      <c r="E1055" s="57" t="s">
        <v>142</v>
      </c>
      <c r="F1055">
        <v>7</v>
      </c>
      <c r="G1055">
        <v>7000</v>
      </c>
      <c r="H1055" s="11">
        <v>45511</v>
      </c>
      <c r="I1055" s="57" t="s">
        <v>291</v>
      </c>
      <c r="J1055" s="57" t="s">
        <v>143</v>
      </c>
      <c r="K1055" s="57" t="s">
        <v>239</v>
      </c>
      <c r="L1055" t="s">
        <v>243</v>
      </c>
    </row>
    <row r="1056" spans="1:12" x14ac:dyDescent="0.3">
      <c r="A1056" s="57" t="s">
        <v>1319</v>
      </c>
      <c r="B1056" s="57" t="s">
        <v>255</v>
      </c>
      <c r="C1056" s="57" t="s">
        <v>237</v>
      </c>
      <c r="D1056" s="57" t="s">
        <v>153</v>
      </c>
      <c r="E1056" s="57" t="s">
        <v>142</v>
      </c>
      <c r="F1056">
        <v>10</v>
      </c>
      <c r="G1056">
        <v>7000</v>
      </c>
      <c r="H1056" s="11">
        <v>45486</v>
      </c>
      <c r="I1056" s="57" t="s">
        <v>100</v>
      </c>
      <c r="J1056" s="57" t="s">
        <v>145</v>
      </c>
      <c r="K1056" s="57" t="s">
        <v>264</v>
      </c>
      <c r="L1056" t="s">
        <v>243</v>
      </c>
    </row>
    <row r="1057" spans="1:12" x14ac:dyDescent="0.3">
      <c r="A1057" s="57" t="s">
        <v>1320</v>
      </c>
      <c r="B1057" s="57" t="s">
        <v>273</v>
      </c>
      <c r="C1057" s="57" t="s">
        <v>237</v>
      </c>
      <c r="D1057" s="57" t="s">
        <v>148</v>
      </c>
      <c r="E1057" s="57" t="s">
        <v>142</v>
      </c>
      <c r="F1057">
        <v>5</v>
      </c>
      <c r="G1057">
        <v>5900</v>
      </c>
      <c r="H1057" s="11">
        <v>45564</v>
      </c>
      <c r="I1057" s="57" t="s">
        <v>100</v>
      </c>
      <c r="J1057" s="57" t="s">
        <v>147</v>
      </c>
      <c r="K1057" s="57" t="s">
        <v>239</v>
      </c>
      <c r="L1057" t="s">
        <v>240</v>
      </c>
    </row>
    <row r="1058" spans="1:12" x14ac:dyDescent="0.3">
      <c r="A1058" s="57" t="s">
        <v>1321</v>
      </c>
      <c r="B1058" s="57" t="s">
        <v>273</v>
      </c>
      <c r="C1058" s="57" t="s">
        <v>237</v>
      </c>
      <c r="D1058" s="57" t="s">
        <v>238</v>
      </c>
      <c r="E1058" s="57" t="s">
        <v>252</v>
      </c>
      <c r="F1058">
        <v>5</v>
      </c>
      <c r="G1058">
        <v>7000</v>
      </c>
      <c r="H1058" s="11">
        <v>45071</v>
      </c>
      <c r="I1058" s="57" t="s">
        <v>100</v>
      </c>
      <c r="J1058" s="57" t="s">
        <v>147</v>
      </c>
      <c r="K1058" s="57" t="s">
        <v>239</v>
      </c>
      <c r="L1058" t="s">
        <v>243</v>
      </c>
    </row>
    <row r="1059" spans="1:12" x14ac:dyDescent="0.3">
      <c r="A1059" s="57" t="s">
        <v>1322</v>
      </c>
      <c r="B1059" s="57" t="s">
        <v>236</v>
      </c>
      <c r="C1059" s="57" t="s">
        <v>237</v>
      </c>
      <c r="D1059" s="57" t="s">
        <v>152</v>
      </c>
      <c r="E1059" s="57" t="s">
        <v>260</v>
      </c>
      <c r="F1059">
        <v>5</v>
      </c>
      <c r="G1059">
        <v>7000</v>
      </c>
      <c r="H1059" s="11">
        <v>45572</v>
      </c>
      <c r="I1059" s="57" t="s">
        <v>92</v>
      </c>
      <c r="J1059" s="57" t="s">
        <v>150</v>
      </c>
      <c r="K1059" s="57" t="s">
        <v>239</v>
      </c>
      <c r="L1059" t="s">
        <v>243</v>
      </c>
    </row>
    <row r="1060" spans="1:12" x14ac:dyDescent="0.3">
      <c r="A1060" s="57" t="s">
        <v>1323</v>
      </c>
      <c r="B1060" s="57" t="s">
        <v>275</v>
      </c>
      <c r="C1060" s="57" t="s">
        <v>276</v>
      </c>
      <c r="D1060" s="57" t="s">
        <v>238</v>
      </c>
      <c r="E1060" s="57" t="s">
        <v>142</v>
      </c>
      <c r="F1060">
        <v>10</v>
      </c>
      <c r="G1060">
        <v>5900</v>
      </c>
      <c r="H1060" s="11">
        <v>45062</v>
      </c>
      <c r="I1060" s="57" t="s">
        <v>291</v>
      </c>
      <c r="J1060" s="57" t="s">
        <v>150</v>
      </c>
      <c r="K1060" s="57" t="s">
        <v>197</v>
      </c>
      <c r="L1060" t="s">
        <v>240</v>
      </c>
    </row>
    <row r="1061" spans="1:12" x14ac:dyDescent="0.3">
      <c r="A1061" s="57" t="s">
        <v>1324</v>
      </c>
      <c r="B1061" s="57" t="s">
        <v>251</v>
      </c>
      <c r="C1061" s="57" t="s">
        <v>237</v>
      </c>
      <c r="D1061" s="57" t="s">
        <v>238</v>
      </c>
      <c r="E1061" s="57" t="s">
        <v>260</v>
      </c>
      <c r="F1061">
        <v>0</v>
      </c>
      <c r="G1061">
        <v>4611</v>
      </c>
      <c r="H1061" s="11">
        <v>44953</v>
      </c>
      <c r="I1061" s="57" t="s">
        <v>89</v>
      </c>
      <c r="J1061" s="57" t="s">
        <v>150</v>
      </c>
      <c r="K1061" s="57" t="s">
        <v>253</v>
      </c>
      <c r="L1061" t="s">
        <v>240</v>
      </c>
    </row>
    <row r="1062" spans="1:12" x14ac:dyDescent="0.3">
      <c r="A1062" s="57" t="s">
        <v>1325</v>
      </c>
      <c r="B1062" s="57" t="s">
        <v>245</v>
      </c>
      <c r="C1062" s="57" t="s">
        <v>237</v>
      </c>
      <c r="D1062" s="57" t="s">
        <v>141</v>
      </c>
      <c r="E1062" s="57" t="s">
        <v>142</v>
      </c>
      <c r="F1062">
        <v>7</v>
      </c>
      <c r="G1062">
        <v>7000</v>
      </c>
      <c r="H1062" s="11">
        <v>45032</v>
      </c>
      <c r="I1062" s="57" t="s">
        <v>242</v>
      </c>
      <c r="J1062" s="57" t="s">
        <v>150</v>
      </c>
      <c r="K1062" s="57" t="s">
        <v>249</v>
      </c>
      <c r="L1062" t="s">
        <v>243</v>
      </c>
    </row>
    <row r="1063" spans="1:12" x14ac:dyDescent="0.3">
      <c r="A1063" s="57" t="s">
        <v>1326</v>
      </c>
      <c r="B1063" s="57" t="s">
        <v>255</v>
      </c>
      <c r="C1063" s="57" t="s">
        <v>237</v>
      </c>
      <c r="D1063" s="57" t="s">
        <v>238</v>
      </c>
      <c r="E1063" s="57" t="s">
        <v>142</v>
      </c>
      <c r="F1063">
        <v>5</v>
      </c>
      <c r="G1063">
        <v>7000</v>
      </c>
      <c r="H1063" s="11">
        <v>44994</v>
      </c>
      <c r="I1063" s="57" t="s">
        <v>100</v>
      </c>
      <c r="J1063" s="57" t="s">
        <v>143</v>
      </c>
      <c r="K1063" s="57" t="s">
        <v>197</v>
      </c>
      <c r="L1063" t="s">
        <v>243</v>
      </c>
    </row>
    <row r="1064" spans="1:12" x14ac:dyDescent="0.3">
      <c r="A1064" s="57" t="s">
        <v>1327</v>
      </c>
      <c r="B1064" s="57" t="s">
        <v>195</v>
      </c>
      <c r="C1064" s="57" t="s">
        <v>196</v>
      </c>
      <c r="D1064" s="57" t="s">
        <v>151</v>
      </c>
      <c r="E1064" s="57" t="s">
        <v>142</v>
      </c>
      <c r="F1064">
        <v>7</v>
      </c>
      <c r="G1064">
        <v>2868</v>
      </c>
      <c r="H1064" s="11">
        <v>45230</v>
      </c>
      <c r="I1064" s="57" t="s">
        <v>242</v>
      </c>
      <c r="J1064" s="57" t="s">
        <v>150</v>
      </c>
      <c r="K1064" s="57" t="s">
        <v>249</v>
      </c>
      <c r="L1064" t="s">
        <v>258</v>
      </c>
    </row>
    <row r="1065" spans="1:12" x14ac:dyDescent="0.3">
      <c r="A1065" s="57" t="s">
        <v>1328</v>
      </c>
      <c r="B1065" s="57" t="s">
        <v>247</v>
      </c>
      <c r="C1065" s="57" t="s">
        <v>237</v>
      </c>
      <c r="D1065" s="57" t="s">
        <v>148</v>
      </c>
      <c r="E1065" s="57" t="s">
        <v>149</v>
      </c>
      <c r="F1065">
        <v>7</v>
      </c>
      <c r="G1065">
        <v>7000</v>
      </c>
      <c r="H1065" s="11">
        <v>45476</v>
      </c>
      <c r="I1065" s="57" t="s">
        <v>242</v>
      </c>
      <c r="J1065" s="57" t="s">
        <v>248</v>
      </c>
      <c r="K1065" s="57" t="s">
        <v>238</v>
      </c>
      <c r="L1065" t="s">
        <v>243</v>
      </c>
    </row>
    <row r="1066" spans="1:12" x14ac:dyDescent="0.3">
      <c r="A1066" s="57" t="s">
        <v>1329</v>
      </c>
      <c r="B1066" s="57" t="s">
        <v>273</v>
      </c>
      <c r="C1066" s="57" t="s">
        <v>237</v>
      </c>
      <c r="D1066" s="57" t="s">
        <v>141</v>
      </c>
      <c r="E1066" s="57" t="s">
        <v>256</v>
      </c>
      <c r="F1066">
        <v>1</v>
      </c>
      <c r="G1066">
        <v>5900</v>
      </c>
      <c r="H1066" s="11">
        <v>45267</v>
      </c>
      <c r="I1066" s="57" t="s">
        <v>266</v>
      </c>
      <c r="J1066" s="57" t="s">
        <v>150</v>
      </c>
      <c r="K1066" s="57" t="s">
        <v>239</v>
      </c>
      <c r="L1066" t="s">
        <v>240</v>
      </c>
    </row>
    <row r="1067" spans="1:12" x14ac:dyDescent="0.3">
      <c r="A1067" s="57" t="s">
        <v>1330</v>
      </c>
      <c r="B1067" s="57" t="s">
        <v>195</v>
      </c>
      <c r="C1067" s="57" t="s">
        <v>196</v>
      </c>
      <c r="D1067" s="57" t="s">
        <v>146</v>
      </c>
      <c r="E1067" s="57" t="s">
        <v>256</v>
      </c>
      <c r="F1067">
        <v>0</v>
      </c>
      <c r="G1067">
        <v>7000</v>
      </c>
      <c r="H1067" s="11">
        <v>45020</v>
      </c>
      <c r="I1067" s="57" t="s">
        <v>257</v>
      </c>
      <c r="J1067" s="57" t="s">
        <v>248</v>
      </c>
      <c r="K1067" s="57" t="s">
        <v>239</v>
      </c>
      <c r="L1067" t="s">
        <v>243</v>
      </c>
    </row>
    <row r="1068" spans="1:12" x14ac:dyDescent="0.3">
      <c r="A1068" s="57" t="s">
        <v>1331</v>
      </c>
      <c r="B1068" s="57" t="s">
        <v>255</v>
      </c>
      <c r="C1068" s="57" t="s">
        <v>237</v>
      </c>
      <c r="D1068" s="57" t="s">
        <v>153</v>
      </c>
      <c r="E1068" s="57" t="s">
        <v>149</v>
      </c>
      <c r="F1068">
        <v>0</v>
      </c>
      <c r="G1068">
        <v>2791</v>
      </c>
      <c r="H1068" s="11">
        <v>45336</v>
      </c>
      <c r="I1068" s="57" t="s">
        <v>291</v>
      </c>
      <c r="J1068" s="57" t="s">
        <v>145</v>
      </c>
      <c r="K1068" s="57" t="s">
        <v>253</v>
      </c>
      <c r="L1068" t="s">
        <v>258</v>
      </c>
    </row>
    <row r="1069" spans="1:12" x14ac:dyDescent="0.3">
      <c r="A1069" s="57" t="s">
        <v>1332</v>
      </c>
      <c r="B1069" s="57" t="s">
        <v>262</v>
      </c>
      <c r="C1069" s="57" t="s">
        <v>263</v>
      </c>
      <c r="D1069" s="57" t="s">
        <v>153</v>
      </c>
      <c r="E1069" s="57" t="s">
        <v>142</v>
      </c>
      <c r="F1069">
        <v>5</v>
      </c>
      <c r="G1069">
        <v>7000</v>
      </c>
      <c r="H1069" s="11">
        <v>45450</v>
      </c>
      <c r="I1069" s="57" t="s">
        <v>100</v>
      </c>
      <c r="J1069" s="57" t="s">
        <v>143</v>
      </c>
      <c r="K1069" s="57" t="s">
        <v>197</v>
      </c>
      <c r="L1069" t="s">
        <v>243</v>
      </c>
    </row>
    <row r="1070" spans="1:12" x14ac:dyDescent="0.3">
      <c r="A1070" s="57" t="s">
        <v>1333</v>
      </c>
      <c r="B1070" s="57" t="s">
        <v>251</v>
      </c>
      <c r="C1070" s="57" t="s">
        <v>237</v>
      </c>
      <c r="D1070" s="57" t="s">
        <v>238</v>
      </c>
      <c r="E1070" s="57" t="s">
        <v>142</v>
      </c>
      <c r="F1070">
        <v>10</v>
      </c>
      <c r="G1070">
        <v>7000</v>
      </c>
      <c r="H1070" s="11">
        <v>45571</v>
      </c>
      <c r="I1070" s="57" t="s">
        <v>92</v>
      </c>
      <c r="J1070" s="57" t="s">
        <v>147</v>
      </c>
      <c r="K1070" s="57" t="s">
        <v>238</v>
      </c>
      <c r="L1070" t="s">
        <v>243</v>
      </c>
    </row>
    <row r="1071" spans="1:12" x14ac:dyDescent="0.3">
      <c r="A1071" s="57" t="s">
        <v>1334</v>
      </c>
      <c r="B1071" s="57" t="s">
        <v>195</v>
      </c>
      <c r="C1071" s="57" t="s">
        <v>196</v>
      </c>
      <c r="D1071" s="57" t="s">
        <v>238</v>
      </c>
      <c r="E1071" s="57" t="s">
        <v>142</v>
      </c>
      <c r="F1071">
        <v>7</v>
      </c>
      <c r="G1071">
        <v>1294</v>
      </c>
      <c r="H1071" s="11">
        <v>45404</v>
      </c>
      <c r="I1071" s="57" t="s">
        <v>242</v>
      </c>
      <c r="J1071" s="57" t="s">
        <v>143</v>
      </c>
      <c r="K1071" s="57" t="s">
        <v>249</v>
      </c>
      <c r="L1071" t="s">
        <v>258</v>
      </c>
    </row>
    <row r="1072" spans="1:12" x14ac:dyDescent="0.3">
      <c r="A1072" s="57" t="s">
        <v>1335</v>
      </c>
      <c r="B1072" s="57" t="s">
        <v>275</v>
      </c>
      <c r="C1072" s="57" t="s">
        <v>276</v>
      </c>
      <c r="D1072" s="57" t="s">
        <v>153</v>
      </c>
      <c r="E1072" s="57" t="s">
        <v>252</v>
      </c>
      <c r="F1072">
        <v>10</v>
      </c>
      <c r="G1072">
        <v>7000</v>
      </c>
      <c r="H1072" s="11">
        <v>45062</v>
      </c>
      <c r="I1072" s="57" t="s">
        <v>100</v>
      </c>
      <c r="J1072" s="57" t="s">
        <v>147</v>
      </c>
      <c r="K1072" s="57" t="s">
        <v>238</v>
      </c>
      <c r="L1072" t="s">
        <v>243</v>
      </c>
    </row>
    <row r="1073" spans="1:12" x14ac:dyDescent="0.3">
      <c r="A1073" s="57" t="s">
        <v>1336</v>
      </c>
      <c r="B1073" s="57" t="s">
        <v>273</v>
      </c>
      <c r="C1073" s="57" t="s">
        <v>237</v>
      </c>
      <c r="D1073" s="57" t="s">
        <v>238</v>
      </c>
      <c r="E1073" s="57" t="s">
        <v>252</v>
      </c>
      <c r="F1073">
        <v>5</v>
      </c>
      <c r="G1073">
        <v>2255</v>
      </c>
      <c r="H1073" s="11">
        <v>45441</v>
      </c>
      <c r="I1073" s="57" t="s">
        <v>242</v>
      </c>
      <c r="J1073" s="57" t="s">
        <v>248</v>
      </c>
      <c r="K1073" s="57" t="s">
        <v>197</v>
      </c>
      <c r="L1073" t="s">
        <v>258</v>
      </c>
    </row>
    <row r="1074" spans="1:12" x14ac:dyDescent="0.3">
      <c r="A1074" s="57" t="s">
        <v>1337</v>
      </c>
      <c r="B1074" s="57" t="s">
        <v>195</v>
      </c>
      <c r="C1074" s="57" t="s">
        <v>196</v>
      </c>
      <c r="D1074" s="57" t="s">
        <v>153</v>
      </c>
      <c r="E1074" s="57" t="s">
        <v>149</v>
      </c>
      <c r="F1074">
        <v>5</v>
      </c>
      <c r="G1074">
        <v>469</v>
      </c>
      <c r="H1074" s="11">
        <v>45623</v>
      </c>
      <c r="I1074" s="57" t="s">
        <v>100</v>
      </c>
      <c r="J1074" s="57" t="s">
        <v>143</v>
      </c>
      <c r="K1074" s="57" t="s">
        <v>253</v>
      </c>
      <c r="L1074" t="s">
        <v>302</v>
      </c>
    </row>
    <row r="1075" spans="1:12" x14ac:dyDescent="0.3">
      <c r="A1075" s="57" t="s">
        <v>1338</v>
      </c>
      <c r="B1075" s="57" t="s">
        <v>251</v>
      </c>
      <c r="C1075" s="57" t="s">
        <v>237</v>
      </c>
      <c r="D1075" s="57" t="s">
        <v>238</v>
      </c>
      <c r="E1075" s="57" t="s">
        <v>260</v>
      </c>
      <c r="F1075">
        <v>0</v>
      </c>
      <c r="G1075">
        <v>5900</v>
      </c>
      <c r="H1075" s="11">
        <v>45412</v>
      </c>
      <c r="I1075" s="57" t="s">
        <v>89</v>
      </c>
      <c r="J1075" s="57" t="s">
        <v>145</v>
      </c>
      <c r="K1075" s="57" t="s">
        <v>238</v>
      </c>
      <c r="L1075" t="s">
        <v>240</v>
      </c>
    </row>
    <row r="1076" spans="1:12" x14ac:dyDescent="0.3">
      <c r="A1076" s="57" t="s">
        <v>1339</v>
      </c>
      <c r="B1076" s="57" t="s">
        <v>262</v>
      </c>
      <c r="C1076" s="57" t="s">
        <v>263</v>
      </c>
      <c r="D1076" s="57" t="s">
        <v>153</v>
      </c>
      <c r="E1076" s="57" t="s">
        <v>252</v>
      </c>
      <c r="F1076">
        <v>10</v>
      </c>
      <c r="G1076">
        <v>5900</v>
      </c>
      <c r="H1076" s="11">
        <v>45594</v>
      </c>
      <c r="I1076" s="57" t="s">
        <v>291</v>
      </c>
      <c r="J1076" s="57" t="s">
        <v>150</v>
      </c>
      <c r="K1076" s="57" t="s">
        <v>239</v>
      </c>
      <c r="L1076" t="s">
        <v>240</v>
      </c>
    </row>
    <row r="1077" spans="1:12" x14ac:dyDescent="0.3">
      <c r="A1077" s="57" t="s">
        <v>1340</v>
      </c>
      <c r="B1077" s="57" t="s">
        <v>245</v>
      </c>
      <c r="C1077" s="57" t="s">
        <v>237</v>
      </c>
      <c r="D1077" s="57" t="s">
        <v>238</v>
      </c>
      <c r="E1077" s="57" t="s">
        <v>256</v>
      </c>
      <c r="F1077">
        <v>7</v>
      </c>
      <c r="G1077">
        <v>5900</v>
      </c>
      <c r="H1077" s="11">
        <v>45584</v>
      </c>
      <c r="I1077" s="57" t="s">
        <v>89</v>
      </c>
      <c r="J1077" s="57" t="s">
        <v>143</v>
      </c>
      <c r="K1077" s="57" t="s">
        <v>197</v>
      </c>
      <c r="L1077" t="s">
        <v>240</v>
      </c>
    </row>
    <row r="1078" spans="1:12" x14ac:dyDescent="0.3">
      <c r="A1078" s="57" t="s">
        <v>1341</v>
      </c>
      <c r="B1078" s="57" t="s">
        <v>262</v>
      </c>
      <c r="C1078" s="57" t="s">
        <v>263</v>
      </c>
      <c r="D1078" s="57" t="s">
        <v>151</v>
      </c>
      <c r="E1078" s="57" t="s">
        <v>256</v>
      </c>
      <c r="F1078">
        <v>0</v>
      </c>
      <c r="G1078">
        <v>7000</v>
      </c>
      <c r="H1078" s="11">
        <v>45305</v>
      </c>
      <c r="I1078" s="57" t="s">
        <v>291</v>
      </c>
      <c r="J1078" s="57" t="s">
        <v>143</v>
      </c>
      <c r="K1078" s="57" t="s">
        <v>253</v>
      </c>
      <c r="L1078" t="s">
        <v>243</v>
      </c>
    </row>
    <row r="1079" spans="1:12" x14ac:dyDescent="0.3">
      <c r="A1079" s="57" t="s">
        <v>1342</v>
      </c>
      <c r="B1079" s="57" t="s">
        <v>262</v>
      </c>
      <c r="C1079" s="57" t="s">
        <v>263</v>
      </c>
      <c r="D1079" s="57" t="s">
        <v>238</v>
      </c>
      <c r="E1079" s="57" t="s">
        <v>142</v>
      </c>
      <c r="F1079">
        <v>7</v>
      </c>
      <c r="G1079">
        <v>7000</v>
      </c>
      <c r="H1079" s="11">
        <v>45020</v>
      </c>
      <c r="I1079" s="57" t="s">
        <v>89</v>
      </c>
      <c r="J1079" s="57" t="s">
        <v>147</v>
      </c>
      <c r="K1079" s="57" t="s">
        <v>264</v>
      </c>
      <c r="L1079" t="s">
        <v>243</v>
      </c>
    </row>
    <row r="1080" spans="1:12" x14ac:dyDescent="0.3">
      <c r="A1080" s="57" t="s">
        <v>1343</v>
      </c>
      <c r="B1080" s="57" t="s">
        <v>247</v>
      </c>
      <c r="C1080" s="57" t="s">
        <v>237</v>
      </c>
      <c r="D1080" s="57" t="s">
        <v>238</v>
      </c>
      <c r="E1080" s="57" t="s">
        <v>260</v>
      </c>
      <c r="F1080">
        <v>0</v>
      </c>
      <c r="G1080">
        <v>5900</v>
      </c>
      <c r="H1080" s="11">
        <v>45321</v>
      </c>
      <c r="I1080" s="57" t="s">
        <v>95</v>
      </c>
      <c r="J1080" s="57" t="s">
        <v>143</v>
      </c>
      <c r="K1080" s="57" t="s">
        <v>238</v>
      </c>
      <c r="L1080" t="s">
        <v>240</v>
      </c>
    </row>
    <row r="1081" spans="1:12" x14ac:dyDescent="0.3">
      <c r="A1081" s="57" t="s">
        <v>1344</v>
      </c>
      <c r="B1081" s="57" t="s">
        <v>245</v>
      </c>
      <c r="C1081" s="57" t="s">
        <v>237</v>
      </c>
      <c r="D1081" s="57" t="s">
        <v>146</v>
      </c>
      <c r="E1081" s="57" t="s">
        <v>252</v>
      </c>
      <c r="F1081">
        <v>7</v>
      </c>
      <c r="G1081">
        <v>5900</v>
      </c>
      <c r="H1081" s="11">
        <v>45036</v>
      </c>
      <c r="I1081" s="57" t="s">
        <v>92</v>
      </c>
      <c r="J1081" s="57" t="s">
        <v>147</v>
      </c>
      <c r="K1081" s="57" t="s">
        <v>249</v>
      </c>
      <c r="L1081" t="s">
        <v>240</v>
      </c>
    </row>
    <row r="1082" spans="1:12" x14ac:dyDescent="0.3">
      <c r="A1082" s="57" t="s">
        <v>1345</v>
      </c>
      <c r="B1082" s="57" t="s">
        <v>236</v>
      </c>
      <c r="C1082" s="57" t="s">
        <v>237</v>
      </c>
      <c r="D1082" s="57" t="s">
        <v>148</v>
      </c>
      <c r="E1082" s="57" t="s">
        <v>260</v>
      </c>
      <c r="F1082">
        <v>7</v>
      </c>
      <c r="G1082">
        <v>161</v>
      </c>
      <c r="H1082" s="11">
        <v>45613</v>
      </c>
      <c r="I1082" s="57" t="s">
        <v>89</v>
      </c>
      <c r="J1082" s="57" t="s">
        <v>143</v>
      </c>
      <c r="K1082" s="57" t="s">
        <v>197</v>
      </c>
      <c r="L1082" t="s">
        <v>302</v>
      </c>
    </row>
    <row r="1083" spans="1:12" x14ac:dyDescent="0.3">
      <c r="A1083" s="57" t="s">
        <v>1346</v>
      </c>
      <c r="B1083" s="57" t="s">
        <v>275</v>
      </c>
      <c r="C1083" s="57" t="s">
        <v>276</v>
      </c>
      <c r="D1083" s="57" t="s">
        <v>144</v>
      </c>
      <c r="E1083" s="57" t="s">
        <v>252</v>
      </c>
      <c r="F1083">
        <v>10</v>
      </c>
      <c r="G1083">
        <v>5900</v>
      </c>
      <c r="H1083" s="11">
        <v>45185</v>
      </c>
      <c r="I1083" s="57" t="s">
        <v>242</v>
      </c>
      <c r="J1083" s="57" t="s">
        <v>145</v>
      </c>
      <c r="K1083" s="57" t="s">
        <v>197</v>
      </c>
      <c r="L1083" t="s">
        <v>240</v>
      </c>
    </row>
    <row r="1084" spans="1:12" x14ac:dyDescent="0.3">
      <c r="A1084" s="57" t="s">
        <v>1347</v>
      </c>
      <c r="B1084" s="57" t="s">
        <v>247</v>
      </c>
      <c r="C1084" s="57" t="s">
        <v>237</v>
      </c>
      <c r="D1084" s="57" t="s">
        <v>148</v>
      </c>
      <c r="E1084" s="57" t="s">
        <v>260</v>
      </c>
      <c r="F1084">
        <v>0</v>
      </c>
      <c r="G1084">
        <v>3501</v>
      </c>
      <c r="H1084" s="11">
        <v>45414</v>
      </c>
      <c r="I1084" s="57" t="s">
        <v>92</v>
      </c>
      <c r="J1084" s="57" t="s">
        <v>147</v>
      </c>
      <c r="K1084" s="57" t="s">
        <v>197</v>
      </c>
      <c r="L1084" t="s">
        <v>258</v>
      </c>
    </row>
    <row r="1085" spans="1:12" x14ac:dyDescent="0.3">
      <c r="A1085" s="57" t="s">
        <v>1348</v>
      </c>
      <c r="B1085" s="57" t="s">
        <v>268</v>
      </c>
      <c r="C1085" s="57" t="s">
        <v>269</v>
      </c>
      <c r="D1085" s="57" t="s">
        <v>151</v>
      </c>
      <c r="E1085" s="57" t="s">
        <v>149</v>
      </c>
      <c r="F1085">
        <v>7</v>
      </c>
      <c r="G1085">
        <v>7000</v>
      </c>
      <c r="H1085" s="11">
        <v>45447</v>
      </c>
      <c r="I1085" s="57" t="s">
        <v>100</v>
      </c>
      <c r="J1085" s="57" t="s">
        <v>143</v>
      </c>
      <c r="K1085" s="57" t="s">
        <v>197</v>
      </c>
      <c r="L1085" t="s">
        <v>243</v>
      </c>
    </row>
    <row r="1086" spans="1:12" x14ac:dyDescent="0.3">
      <c r="A1086" s="57" t="s">
        <v>1349</v>
      </c>
      <c r="B1086" s="57" t="s">
        <v>195</v>
      </c>
      <c r="C1086" s="57" t="s">
        <v>196</v>
      </c>
      <c r="D1086" s="57" t="s">
        <v>146</v>
      </c>
      <c r="E1086" s="57" t="s">
        <v>149</v>
      </c>
      <c r="F1086">
        <v>0</v>
      </c>
      <c r="G1086">
        <v>7000</v>
      </c>
      <c r="H1086" s="11">
        <v>44943</v>
      </c>
      <c r="I1086" s="57" t="s">
        <v>242</v>
      </c>
      <c r="J1086" s="57" t="s">
        <v>150</v>
      </c>
      <c r="K1086" s="57" t="s">
        <v>264</v>
      </c>
      <c r="L1086" t="s">
        <v>243</v>
      </c>
    </row>
    <row r="1087" spans="1:12" x14ac:dyDescent="0.3">
      <c r="A1087" s="57" t="s">
        <v>1350</v>
      </c>
      <c r="B1087" s="57" t="s">
        <v>273</v>
      </c>
      <c r="C1087" s="57" t="s">
        <v>237</v>
      </c>
      <c r="D1087" s="57" t="s">
        <v>238</v>
      </c>
      <c r="E1087" s="57" t="s">
        <v>256</v>
      </c>
      <c r="F1087">
        <v>10</v>
      </c>
      <c r="G1087">
        <v>5900</v>
      </c>
      <c r="H1087" s="11">
        <v>45432</v>
      </c>
      <c r="I1087" s="57" t="s">
        <v>242</v>
      </c>
      <c r="J1087" s="57" t="s">
        <v>145</v>
      </c>
      <c r="K1087" s="57" t="s">
        <v>253</v>
      </c>
      <c r="L1087" t="s">
        <v>240</v>
      </c>
    </row>
    <row r="1088" spans="1:12" x14ac:dyDescent="0.3">
      <c r="A1088" s="57" t="s">
        <v>1351</v>
      </c>
      <c r="B1088" s="57" t="s">
        <v>195</v>
      </c>
      <c r="C1088" s="57" t="s">
        <v>196</v>
      </c>
      <c r="D1088" s="57" t="s">
        <v>151</v>
      </c>
      <c r="E1088" s="57" t="s">
        <v>142</v>
      </c>
      <c r="F1088">
        <v>5</v>
      </c>
      <c r="G1088">
        <v>1576</v>
      </c>
      <c r="H1088" s="11">
        <v>45260</v>
      </c>
      <c r="I1088" s="57" t="s">
        <v>291</v>
      </c>
      <c r="J1088" s="57" t="s">
        <v>150</v>
      </c>
      <c r="K1088" s="57" t="s">
        <v>197</v>
      </c>
      <c r="L1088" t="s">
        <v>258</v>
      </c>
    </row>
    <row r="1089" spans="1:12" x14ac:dyDescent="0.3">
      <c r="A1089" s="57" t="s">
        <v>1352</v>
      </c>
      <c r="B1089" s="57" t="s">
        <v>275</v>
      </c>
      <c r="C1089" s="57" t="s">
        <v>276</v>
      </c>
      <c r="D1089" s="57" t="s">
        <v>144</v>
      </c>
      <c r="E1089" s="57" t="s">
        <v>149</v>
      </c>
      <c r="F1089">
        <v>7</v>
      </c>
      <c r="G1089">
        <v>2218</v>
      </c>
      <c r="H1089" s="11">
        <v>45191</v>
      </c>
      <c r="I1089" s="57" t="s">
        <v>100</v>
      </c>
      <c r="J1089" s="57" t="s">
        <v>143</v>
      </c>
      <c r="K1089" s="57" t="s">
        <v>238</v>
      </c>
      <c r="L1089" t="s">
        <v>258</v>
      </c>
    </row>
    <row r="1090" spans="1:12" x14ac:dyDescent="0.3">
      <c r="A1090" s="57" t="s">
        <v>1353</v>
      </c>
      <c r="B1090" s="57" t="s">
        <v>255</v>
      </c>
      <c r="C1090" s="57" t="s">
        <v>237</v>
      </c>
      <c r="D1090" s="57" t="s">
        <v>146</v>
      </c>
      <c r="E1090" s="57" t="s">
        <v>142</v>
      </c>
      <c r="F1090">
        <v>5</v>
      </c>
      <c r="G1090">
        <v>7000</v>
      </c>
      <c r="H1090" s="11">
        <v>45202</v>
      </c>
      <c r="I1090" s="57" t="s">
        <v>92</v>
      </c>
      <c r="J1090" s="57" t="s">
        <v>248</v>
      </c>
      <c r="K1090" s="57" t="s">
        <v>264</v>
      </c>
      <c r="L1090" t="s">
        <v>243</v>
      </c>
    </row>
    <row r="1091" spans="1:12" x14ac:dyDescent="0.3">
      <c r="A1091" s="57" t="s">
        <v>1354</v>
      </c>
      <c r="B1091" s="57" t="s">
        <v>247</v>
      </c>
      <c r="C1091" s="57" t="s">
        <v>237</v>
      </c>
      <c r="D1091" s="57" t="s">
        <v>238</v>
      </c>
      <c r="E1091" s="57" t="s">
        <v>260</v>
      </c>
      <c r="F1091">
        <v>0</v>
      </c>
      <c r="G1091">
        <v>5900</v>
      </c>
      <c r="H1091" s="11">
        <v>45440</v>
      </c>
      <c r="I1091" s="57" t="s">
        <v>242</v>
      </c>
      <c r="J1091" s="57" t="s">
        <v>248</v>
      </c>
      <c r="K1091" s="57" t="s">
        <v>239</v>
      </c>
      <c r="L1091" t="s">
        <v>240</v>
      </c>
    </row>
    <row r="1092" spans="1:12" x14ac:dyDescent="0.3">
      <c r="A1092" s="57" t="s">
        <v>1355</v>
      </c>
      <c r="B1092" s="57" t="s">
        <v>275</v>
      </c>
      <c r="C1092" s="57" t="s">
        <v>276</v>
      </c>
      <c r="D1092" s="57" t="s">
        <v>141</v>
      </c>
      <c r="E1092" s="57" t="s">
        <v>256</v>
      </c>
      <c r="F1092">
        <v>0</v>
      </c>
      <c r="G1092">
        <v>5900</v>
      </c>
      <c r="H1092" s="11">
        <v>45452</v>
      </c>
      <c r="I1092" s="57" t="s">
        <v>266</v>
      </c>
      <c r="J1092" s="57" t="s">
        <v>248</v>
      </c>
      <c r="K1092" s="57" t="s">
        <v>197</v>
      </c>
      <c r="L1092" t="s">
        <v>240</v>
      </c>
    </row>
    <row r="1093" spans="1:12" x14ac:dyDescent="0.3">
      <c r="A1093" s="57" t="s">
        <v>1356</v>
      </c>
      <c r="B1093" s="57" t="s">
        <v>195</v>
      </c>
      <c r="C1093" s="57" t="s">
        <v>196</v>
      </c>
      <c r="D1093" s="57" t="s">
        <v>151</v>
      </c>
      <c r="E1093" s="57" t="s">
        <v>260</v>
      </c>
      <c r="F1093">
        <v>7</v>
      </c>
      <c r="G1093">
        <v>7000</v>
      </c>
      <c r="H1093" s="11">
        <v>45365</v>
      </c>
      <c r="I1093" s="57" t="s">
        <v>100</v>
      </c>
      <c r="J1093" s="57" t="s">
        <v>147</v>
      </c>
      <c r="K1093" s="57" t="s">
        <v>239</v>
      </c>
      <c r="L1093" t="s">
        <v>243</v>
      </c>
    </row>
    <row r="1094" spans="1:12" x14ac:dyDescent="0.3">
      <c r="A1094" s="57" t="s">
        <v>1357</v>
      </c>
      <c r="B1094" s="57" t="s">
        <v>268</v>
      </c>
      <c r="C1094" s="57" t="s">
        <v>269</v>
      </c>
      <c r="D1094" s="57" t="s">
        <v>238</v>
      </c>
      <c r="E1094" s="57" t="s">
        <v>260</v>
      </c>
      <c r="F1094">
        <v>8</v>
      </c>
      <c r="G1094">
        <v>4876</v>
      </c>
      <c r="H1094" s="11">
        <v>45271</v>
      </c>
      <c r="I1094" s="57" t="s">
        <v>291</v>
      </c>
      <c r="J1094" s="57" t="s">
        <v>145</v>
      </c>
      <c r="K1094" s="57" t="s">
        <v>197</v>
      </c>
      <c r="L1094" t="s">
        <v>240</v>
      </c>
    </row>
    <row r="1095" spans="1:12" x14ac:dyDescent="0.3">
      <c r="A1095" s="57" t="s">
        <v>1358</v>
      </c>
      <c r="B1095" s="57" t="s">
        <v>195</v>
      </c>
      <c r="C1095" s="57" t="s">
        <v>196</v>
      </c>
      <c r="D1095" s="57" t="s">
        <v>141</v>
      </c>
      <c r="E1095" s="57" t="s">
        <v>260</v>
      </c>
      <c r="F1095">
        <v>1</v>
      </c>
      <c r="G1095">
        <v>5900</v>
      </c>
      <c r="H1095" s="11">
        <v>45168</v>
      </c>
      <c r="I1095" s="57" t="s">
        <v>100</v>
      </c>
      <c r="J1095" s="57" t="s">
        <v>248</v>
      </c>
      <c r="K1095" s="57" t="s">
        <v>238</v>
      </c>
      <c r="L1095" t="s">
        <v>240</v>
      </c>
    </row>
    <row r="1096" spans="1:12" x14ac:dyDescent="0.3">
      <c r="A1096" s="57" t="s">
        <v>1359</v>
      </c>
      <c r="B1096" s="57" t="s">
        <v>273</v>
      </c>
      <c r="C1096" s="57" t="s">
        <v>237</v>
      </c>
      <c r="D1096" s="57" t="s">
        <v>151</v>
      </c>
      <c r="E1096" s="57" t="s">
        <v>252</v>
      </c>
      <c r="F1096">
        <v>0</v>
      </c>
      <c r="G1096">
        <v>5900</v>
      </c>
      <c r="H1096" s="11">
        <v>45439</v>
      </c>
      <c r="I1096" s="57" t="s">
        <v>266</v>
      </c>
      <c r="J1096" s="57" t="s">
        <v>147</v>
      </c>
      <c r="K1096" s="57" t="s">
        <v>197</v>
      </c>
      <c r="L1096" t="s">
        <v>240</v>
      </c>
    </row>
    <row r="1097" spans="1:12" x14ac:dyDescent="0.3">
      <c r="A1097" s="57" t="s">
        <v>1360</v>
      </c>
      <c r="B1097" s="57" t="s">
        <v>262</v>
      </c>
      <c r="C1097" s="57" t="s">
        <v>263</v>
      </c>
      <c r="D1097" s="57" t="s">
        <v>141</v>
      </c>
      <c r="E1097" s="57" t="s">
        <v>260</v>
      </c>
      <c r="F1097">
        <v>3</v>
      </c>
      <c r="G1097">
        <v>5900</v>
      </c>
      <c r="H1097" s="11">
        <v>44989</v>
      </c>
      <c r="I1097" s="57" t="s">
        <v>89</v>
      </c>
      <c r="J1097" s="57" t="s">
        <v>145</v>
      </c>
      <c r="K1097" s="57" t="s">
        <v>238</v>
      </c>
      <c r="L1097" t="s">
        <v>240</v>
      </c>
    </row>
    <row r="1098" spans="1:12" x14ac:dyDescent="0.3">
      <c r="A1098" s="57" t="s">
        <v>1361</v>
      </c>
      <c r="B1098" s="57" t="s">
        <v>262</v>
      </c>
      <c r="C1098" s="57" t="s">
        <v>263</v>
      </c>
      <c r="D1098" s="57" t="s">
        <v>146</v>
      </c>
      <c r="E1098" s="57" t="s">
        <v>252</v>
      </c>
      <c r="F1098">
        <v>7</v>
      </c>
      <c r="G1098">
        <v>7000</v>
      </c>
      <c r="H1098" s="11">
        <v>45293</v>
      </c>
      <c r="I1098" s="57" t="s">
        <v>257</v>
      </c>
      <c r="J1098" s="57" t="s">
        <v>150</v>
      </c>
      <c r="K1098" s="57" t="s">
        <v>239</v>
      </c>
      <c r="L1098" t="s">
        <v>243</v>
      </c>
    </row>
    <row r="1099" spans="1:12" x14ac:dyDescent="0.3">
      <c r="A1099" s="57" t="s">
        <v>1362</v>
      </c>
      <c r="B1099" s="57" t="s">
        <v>262</v>
      </c>
      <c r="C1099" s="57" t="s">
        <v>263</v>
      </c>
      <c r="D1099" s="57" t="s">
        <v>153</v>
      </c>
      <c r="E1099" s="57" t="s">
        <v>252</v>
      </c>
      <c r="F1099">
        <v>10</v>
      </c>
      <c r="G1099">
        <v>7000</v>
      </c>
      <c r="H1099" s="11">
        <v>45180</v>
      </c>
      <c r="I1099" s="57" t="s">
        <v>95</v>
      </c>
      <c r="J1099" s="57" t="s">
        <v>145</v>
      </c>
      <c r="K1099" s="57" t="s">
        <v>197</v>
      </c>
      <c r="L1099" t="s">
        <v>243</v>
      </c>
    </row>
    <row r="1100" spans="1:12" x14ac:dyDescent="0.3">
      <c r="A1100" s="57" t="s">
        <v>1363</v>
      </c>
      <c r="B1100" s="57" t="s">
        <v>251</v>
      </c>
      <c r="C1100" s="57" t="s">
        <v>237</v>
      </c>
      <c r="D1100" s="57" t="s">
        <v>146</v>
      </c>
      <c r="E1100" s="57" t="s">
        <v>149</v>
      </c>
      <c r="F1100">
        <v>0</v>
      </c>
      <c r="G1100">
        <v>7000</v>
      </c>
      <c r="H1100" s="11">
        <v>45357</v>
      </c>
      <c r="I1100" s="57" t="s">
        <v>257</v>
      </c>
      <c r="J1100" s="57" t="s">
        <v>150</v>
      </c>
      <c r="K1100" s="57" t="s">
        <v>238</v>
      </c>
      <c r="L1100" t="s">
        <v>243</v>
      </c>
    </row>
    <row r="1101" spans="1:12" x14ac:dyDescent="0.3">
      <c r="A1101" s="57" t="s">
        <v>1364</v>
      </c>
      <c r="B1101" s="57" t="s">
        <v>275</v>
      </c>
      <c r="C1101" s="57" t="s">
        <v>276</v>
      </c>
      <c r="D1101" s="57" t="s">
        <v>153</v>
      </c>
      <c r="E1101" s="57" t="s">
        <v>149</v>
      </c>
      <c r="F1101">
        <v>8</v>
      </c>
      <c r="G1101">
        <v>5900</v>
      </c>
      <c r="H1101" s="11">
        <v>45475</v>
      </c>
      <c r="I1101" s="57" t="s">
        <v>100</v>
      </c>
      <c r="J1101" s="57" t="s">
        <v>248</v>
      </c>
      <c r="K1101" s="57" t="s">
        <v>264</v>
      </c>
      <c r="L1101" t="s">
        <v>240</v>
      </c>
    </row>
    <row r="1102" spans="1:12" x14ac:dyDescent="0.3">
      <c r="A1102" s="57" t="s">
        <v>1365</v>
      </c>
      <c r="B1102" s="57" t="s">
        <v>195</v>
      </c>
      <c r="C1102" s="57" t="s">
        <v>196</v>
      </c>
      <c r="D1102" s="57" t="s">
        <v>141</v>
      </c>
      <c r="E1102" s="57" t="s">
        <v>256</v>
      </c>
      <c r="F1102">
        <v>4</v>
      </c>
      <c r="G1102">
        <v>7000</v>
      </c>
      <c r="H1102" s="11">
        <v>45600</v>
      </c>
      <c r="I1102" s="57" t="s">
        <v>95</v>
      </c>
      <c r="J1102" s="57" t="s">
        <v>248</v>
      </c>
      <c r="K1102" s="57" t="s">
        <v>238</v>
      </c>
      <c r="L1102" t="s">
        <v>243</v>
      </c>
    </row>
    <row r="1103" spans="1:12" x14ac:dyDescent="0.3">
      <c r="A1103" s="57" t="s">
        <v>1366</v>
      </c>
      <c r="B1103" s="57" t="s">
        <v>275</v>
      </c>
      <c r="C1103" s="57" t="s">
        <v>276</v>
      </c>
      <c r="D1103" s="57" t="s">
        <v>152</v>
      </c>
      <c r="E1103" s="57" t="s">
        <v>256</v>
      </c>
      <c r="F1103">
        <v>10</v>
      </c>
      <c r="G1103">
        <v>7000</v>
      </c>
      <c r="H1103" s="11">
        <v>44988</v>
      </c>
      <c r="I1103" s="57" t="s">
        <v>257</v>
      </c>
      <c r="J1103" s="57" t="s">
        <v>150</v>
      </c>
      <c r="K1103" s="57" t="s">
        <v>238</v>
      </c>
      <c r="L1103" t="s">
        <v>243</v>
      </c>
    </row>
    <row r="1104" spans="1:12" x14ac:dyDescent="0.3">
      <c r="A1104" s="57" t="s">
        <v>1367</v>
      </c>
      <c r="B1104" s="57" t="s">
        <v>236</v>
      </c>
      <c r="C1104" s="57" t="s">
        <v>237</v>
      </c>
      <c r="D1104" s="57" t="s">
        <v>153</v>
      </c>
      <c r="E1104" s="57" t="s">
        <v>142</v>
      </c>
      <c r="F1104">
        <v>7</v>
      </c>
      <c r="G1104">
        <v>5900</v>
      </c>
      <c r="H1104" s="11">
        <v>44934</v>
      </c>
      <c r="I1104" s="57" t="s">
        <v>89</v>
      </c>
      <c r="J1104" s="57" t="s">
        <v>145</v>
      </c>
      <c r="K1104" s="57" t="s">
        <v>197</v>
      </c>
      <c r="L1104" t="s">
        <v>240</v>
      </c>
    </row>
    <row r="1105" spans="1:12" x14ac:dyDescent="0.3">
      <c r="A1105" s="57" t="s">
        <v>1368</v>
      </c>
      <c r="B1105" s="57" t="s">
        <v>195</v>
      </c>
      <c r="C1105" s="57" t="s">
        <v>196</v>
      </c>
      <c r="D1105" s="57" t="s">
        <v>146</v>
      </c>
      <c r="E1105" s="57" t="s">
        <v>252</v>
      </c>
      <c r="F1105">
        <v>7</v>
      </c>
      <c r="G1105">
        <v>5900</v>
      </c>
      <c r="H1105" s="11">
        <v>45176</v>
      </c>
      <c r="I1105" s="57" t="s">
        <v>266</v>
      </c>
      <c r="J1105" s="57" t="s">
        <v>150</v>
      </c>
      <c r="K1105" s="57" t="s">
        <v>253</v>
      </c>
      <c r="L1105" t="s">
        <v>240</v>
      </c>
    </row>
    <row r="1106" spans="1:12" x14ac:dyDescent="0.3">
      <c r="A1106" s="57" t="s">
        <v>1369</v>
      </c>
      <c r="B1106" s="57" t="s">
        <v>245</v>
      </c>
      <c r="C1106" s="57" t="s">
        <v>237</v>
      </c>
      <c r="D1106" s="57" t="s">
        <v>152</v>
      </c>
      <c r="E1106" s="57" t="s">
        <v>256</v>
      </c>
      <c r="F1106">
        <v>0</v>
      </c>
      <c r="G1106">
        <v>5900</v>
      </c>
      <c r="H1106" s="11">
        <v>45326</v>
      </c>
      <c r="I1106" s="57" t="s">
        <v>266</v>
      </c>
      <c r="J1106" s="57" t="s">
        <v>150</v>
      </c>
      <c r="K1106" s="57" t="s">
        <v>249</v>
      </c>
      <c r="L1106" t="s">
        <v>240</v>
      </c>
    </row>
    <row r="1107" spans="1:12" x14ac:dyDescent="0.3">
      <c r="A1107" s="57" t="s">
        <v>1370</v>
      </c>
      <c r="B1107" s="57" t="s">
        <v>251</v>
      </c>
      <c r="C1107" s="57" t="s">
        <v>237</v>
      </c>
      <c r="D1107" s="57" t="s">
        <v>141</v>
      </c>
      <c r="E1107" s="57" t="s">
        <v>252</v>
      </c>
      <c r="F1107">
        <v>0</v>
      </c>
      <c r="G1107">
        <v>2185</v>
      </c>
      <c r="H1107" s="11">
        <v>45244</v>
      </c>
      <c r="I1107" s="57" t="s">
        <v>266</v>
      </c>
      <c r="J1107" s="57" t="s">
        <v>150</v>
      </c>
      <c r="K1107" s="57" t="s">
        <v>249</v>
      </c>
      <c r="L1107" t="s">
        <v>258</v>
      </c>
    </row>
    <row r="1108" spans="1:12" x14ac:dyDescent="0.3">
      <c r="A1108" s="57" t="s">
        <v>1371</v>
      </c>
      <c r="B1108" s="57" t="s">
        <v>275</v>
      </c>
      <c r="C1108" s="57" t="s">
        <v>276</v>
      </c>
      <c r="D1108" s="57" t="s">
        <v>144</v>
      </c>
      <c r="E1108" s="57" t="s">
        <v>252</v>
      </c>
      <c r="F1108">
        <v>5</v>
      </c>
      <c r="G1108">
        <v>7000</v>
      </c>
      <c r="H1108" s="11">
        <v>45000</v>
      </c>
      <c r="I1108" s="57" t="s">
        <v>291</v>
      </c>
      <c r="J1108" s="57" t="s">
        <v>145</v>
      </c>
      <c r="K1108" s="57" t="s">
        <v>253</v>
      </c>
      <c r="L1108" t="s">
        <v>243</v>
      </c>
    </row>
    <row r="1109" spans="1:12" x14ac:dyDescent="0.3">
      <c r="A1109" s="57" t="s">
        <v>1372</v>
      </c>
      <c r="B1109" s="57" t="s">
        <v>275</v>
      </c>
      <c r="C1109" s="57" t="s">
        <v>276</v>
      </c>
      <c r="D1109" s="57" t="s">
        <v>148</v>
      </c>
      <c r="E1109" s="57" t="s">
        <v>252</v>
      </c>
      <c r="F1109">
        <v>0</v>
      </c>
      <c r="G1109">
        <v>5900</v>
      </c>
      <c r="H1109" s="11">
        <v>44979</v>
      </c>
      <c r="I1109" s="57" t="s">
        <v>242</v>
      </c>
      <c r="J1109" s="57" t="s">
        <v>150</v>
      </c>
      <c r="K1109" s="57" t="s">
        <v>239</v>
      </c>
      <c r="L1109" t="s">
        <v>240</v>
      </c>
    </row>
    <row r="1110" spans="1:12" x14ac:dyDescent="0.3">
      <c r="A1110" s="57" t="s">
        <v>1373</v>
      </c>
      <c r="B1110" s="57" t="s">
        <v>195</v>
      </c>
      <c r="C1110" s="57" t="s">
        <v>196</v>
      </c>
      <c r="D1110" s="57" t="s">
        <v>238</v>
      </c>
      <c r="E1110" s="57" t="s">
        <v>149</v>
      </c>
      <c r="F1110">
        <v>5</v>
      </c>
      <c r="G1110">
        <v>391</v>
      </c>
      <c r="H1110" s="11">
        <v>45119</v>
      </c>
      <c r="I1110" s="57" t="s">
        <v>266</v>
      </c>
      <c r="J1110" s="57" t="s">
        <v>150</v>
      </c>
      <c r="K1110" s="57" t="s">
        <v>239</v>
      </c>
      <c r="L1110" t="s">
        <v>302</v>
      </c>
    </row>
    <row r="1111" spans="1:12" x14ac:dyDescent="0.3">
      <c r="A1111" s="57" t="s">
        <v>1374</v>
      </c>
      <c r="B1111" s="57" t="s">
        <v>268</v>
      </c>
      <c r="C1111" s="57" t="s">
        <v>269</v>
      </c>
      <c r="D1111" s="57" t="s">
        <v>141</v>
      </c>
      <c r="E1111" s="57" t="s">
        <v>256</v>
      </c>
      <c r="F1111">
        <v>5</v>
      </c>
      <c r="G1111">
        <v>7000</v>
      </c>
      <c r="H1111" s="11">
        <v>45258</v>
      </c>
      <c r="I1111" s="57" t="s">
        <v>291</v>
      </c>
      <c r="J1111" s="57" t="s">
        <v>150</v>
      </c>
      <c r="K1111" s="57" t="s">
        <v>238</v>
      </c>
      <c r="L1111" t="s">
        <v>243</v>
      </c>
    </row>
    <row r="1112" spans="1:12" x14ac:dyDescent="0.3">
      <c r="A1112" s="57" t="s">
        <v>1375</v>
      </c>
      <c r="B1112" s="57" t="s">
        <v>245</v>
      </c>
      <c r="C1112" s="57" t="s">
        <v>237</v>
      </c>
      <c r="D1112" s="57" t="s">
        <v>144</v>
      </c>
      <c r="E1112" s="57" t="s">
        <v>252</v>
      </c>
      <c r="F1112">
        <v>7</v>
      </c>
      <c r="G1112">
        <v>5900</v>
      </c>
      <c r="H1112" s="11">
        <v>45204</v>
      </c>
      <c r="I1112" s="57" t="s">
        <v>95</v>
      </c>
      <c r="J1112" s="57" t="s">
        <v>248</v>
      </c>
      <c r="K1112" s="57" t="s">
        <v>253</v>
      </c>
      <c r="L1112" t="s">
        <v>240</v>
      </c>
    </row>
    <row r="1113" spans="1:12" x14ac:dyDescent="0.3">
      <c r="A1113" s="57" t="s">
        <v>1376</v>
      </c>
      <c r="B1113" s="57" t="s">
        <v>262</v>
      </c>
      <c r="C1113" s="57" t="s">
        <v>263</v>
      </c>
      <c r="D1113" s="57" t="s">
        <v>148</v>
      </c>
      <c r="E1113" s="57" t="s">
        <v>149</v>
      </c>
      <c r="F1113">
        <v>7</v>
      </c>
      <c r="G1113">
        <v>5900</v>
      </c>
      <c r="H1113" s="11">
        <v>45283</v>
      </c>
      <c r="I1113" s="57" t="s">
        <v>89</v>
      </c>
      <c r="J1113" s="57" t="s">
        <v>248</v>
      </c>
      <c r="K1113" s="57" t="s">
        <v>197</v>
      </c>
      <c r="L1113" t="s">
        <v>240</v>
      </c>
    </row>
    <row r="1114" spans="1:12" x14ac:dyDescent="0.3">
      <c r="A1114" s="57" t="s">
        <v>1377</v>
      </c>
      <c r="B1114" s="57" t="s">
        <v>247</v>
      </c>
      <c r="C1114" s="57" t="s">
        <v>237</v>
      </c>
      <c r="D1114" s="57" t="s">
        <v>148</v>
      </c>
      <c r="E1114" s="57" t="s">
        <v>256</v>
      </c>
      <c r="F1114">
        <v>10</v>
      </c>
      <c r="G1114">
        <v>7000</v>
      </c>
      <c r="H1114" s="11">
        <v>45018</v>
      </c>
      <c r="I1114" s="57" t="s">
        <v>89</v>
      </c>
      <c r="J1114" s="57" t="s">
        <v>147</v>
      </c>
      <c r="K1114" s="57" t="s">
        <v>197</v>
      </c>
      <c r="L1114" t="s">
        <v>243</v>
      </c>
    </row>
    <row r="1115" spans="1:12" x14ac:dyDescent="0.3">
      <c r="A1115" s="57" t="s">
        <v>1378</v>
      </c>
      <c r="B1115" s="57" t="s">
        <v>195</v>
      </c>
      <c r="C1115" s="57" t="s">
        <v>196</v>
      </c>
      <c r="D1115" s="57" t="s">
        <v>141</v>
      </c>
      <c r="E1115" s="57" t="s">
        <v>149</v>
      </c>
      <c r="F1115">
        <v>5</v>
      </c>
      <c r="G1115">
        <v>943</v>
      </c>
      <c r="H1115" s="11">
        <v>45096</v>
      </c>
      <c r="I1115" s="57" t="s">
        <v>92</v>
      </c>
      <c r="J1115" s="57" t="s">
        <v>248</v>
      </c>
      <c r="K1115" s="57" t="s">
        <v>264</v>
      </c>
      <c r="L1115" t="s">
        <v>302</v>
      </c>
    </row>
    <row r="1116" spans="1:12" x14ac:dyDescent="0.3">
      <c r="A1116" s="57" t="s">
        <v>1379</v>
      </c>
      <c r="B1116" s="57" t="s">
        <v>236</v>
      </c>
      <c r="C1116" s="57" t="s">
        <v>237</v>
      </c>
      <c r="D1116" s="57" t="s">
        <v>152</v>
      </c>
      <c r="E1116" s="57" t="s">
        <v>142</v>
      </c>
      <c r="F1116">
        <v>5</v>
      </c>
      <c r="G1116">
        <v>7000</v>
      </c>
      <c r="H1116" s="11">
        <v>45637</v>
      </c>
      <c r="I1116" s="57" t="s">
        <v>266</v>
      </c>
      <c r="J1116" s="57" t="s">
        <v>150</v>
      </c>
      <c r="K1116" s="57" t="s">
        <v>197</v>
      </c>
      <c r="L1116" t="s">
        <v>243</v>
      </c>
    </row>
    <row r="1117" spans="1:12" x14ac:dyDescent="0.3">
      <c r="A1117" s="57" t="s">
        <v>1380</v>
      </c>
      <c r="B1117" s="57" t="s">
        <v>247</v>
      </c>
      <c r="C1117" s="57" t="s">
        <v>237</v>
      </c>
      <c r="D1117" s="57" t="s">
        <v>146</v>
      </c>
      <c r="E1117" s="57" t="s">
        <v>260</v>
      </c>
      <c r="F1117">
        <v>7</v>
      </c>
      <c r="G1117">
        <v>7000</v>
      </c>
      <c r="H1117" s="11">
        <v>45311</v>
      </c>
      <c r="I1117" s="57" t="s">
        <v>291</v>
      </c>
      <c r="J1117" s="57" t="s">
        <v>150</v>
      </c>
      <c r="K1117" s="57" t="s">
        <v>238</v>
      </c>
      <c r="L1117" t="s">
        <v>243</v>
      </c>
    </row>
    <row r="1118" spans="1:12" x14ac:dyDescent="0.3">
      <c r="A1118" s="57" t="s">
        <v>1381</v>
      </c>
      <c r="B1118" s="57" t="s">
        <v>251</v>
      </c>
      <c r="C1118" s="57" t="s">
        <v>237</v>
      </c>
      <c r="D1118" s="57" t="s">
        <v>238</v>
      </c>
      <c r="E1118" s="57" t="s">
        <v>252</v>
      </c>
      <c r="F1118">
        <v>10</v>
      </c>
      <c r="G1118">
        <v>3115</v>
      </c>
      <c r="H1118" s="11">
        <v>45411</v>
      </c>
      <c r="I1118" s="57" t="s">
        <v>100</v>
      </c>
      <c r="J1118" s="57" t="s">
        <v>143</v>
      </c>
      <c r="K1118" s="57" t="s">
        <v>197</v>
      </c>
      <c r="L1118" t="s">
        <v>258</v>
      </c>
    </row>
    <row r="1119" spans="1:12" x14ac:dyDescent="0.3">
      <c r="A1119" s="57" t="s">
        <v>1382</v>
      </c>
      <c r="B1119" s="57" t="s">
        <v>245</v>
      </c>
      <c r="C1119" s="57" t="s">
        <v>237</v>
      </c>
      <c r="D1119" s="57" t="s">
        <v>151</v>
      </c>
      <c r="E1119" s="57" t="s">
        <v>256</v>
      </c>
      <c r="F1119">
        <v>0</v>
      </c>
      <c r="G1119">
        <v>7000</v>
      </c>
      <c r="H1119" s="11">
        <v>45571</v>
      </c>
      <c r="I1119" s="57" t="s">
        <v>291</v>
      </c>
      <c r="J1119" s="57" t="s">
        <v>150</v>
      </c>
      <c r="K1119" s="57" t="s">
        <v>197</v>
      </c>
      <c r="L1119" t="s">
        <v>243</v>
      </c>
    </row>
    <row r="1120" spans="1:12" x14ac:dyDescent="0.3">
      <c r="A1120" s="57" t="s">
        <v>1383</v>
      </c>
      <c r="B1120" s="57" t="s">
        <v>275</v>
      </c>
      <c r="C1120" s="57" t="s">
        <v>276</v>
      </c>
      <c r="D1120" s="57" t="s">
        <v>146</v>
      </c>
      <c r="E1120" s="57" t="s">
        <v>256</v>
      </c>
      <c r="F1120">
        <v>5</v>
      </c>
      <c r="G1120">
        <v>5900</v>
      </c>
      <c r="H1120" s="11">
        <v>44951</v>
      </c>
      <c r="I1120" s="57" t="s">
        <v>89</v>
      </c>
      <c r="J1120" s="57" t="s">
        <v>150</v>
      </c>
      <c r="K1120" s="57" t="s">
        <v>249</v>
      </c>
      <c r="L1120" t="s">
        <v>240</v>
      </c>
    </row>
    <row r="1121" spans="1:12" x14ac:dyDescent="0.3">
      <c r="A1121" s="57" t="s">
        <v>1384</v>
      </c>
      <c r="B1121" s="57" t="s">
        <v>251</v>
      </c>
      <c r="C1121" s="57" t="s">
        <v>237</v>
      </c>
      <c r="D1121" s="57" t="s">
        <v>238</v>
      </c>
      <c r="E1121" s="57" t="s">
        <v>260</v>
      </c>
      <c r="F1121">
        <v>5</v>
      </c>
      <c r="G1121">
        <v>7000</v>
      </c>
      <c r="H1121" s="11">
        <v>45091</v>
      </c>
      <c r="I1121" s="57" t="s">
        <v>100</v>
      </c>
      <c r="J1121" s="57" t="s">
        <v>248</v>
      </c>
      <c r="K1121" s="57" t="s">
        <v>239</v>
      </c>
      <c r="L1121" t="s">
        <v>243</v>
      </c>
    </row>
    <row r="1122" spans="1:12" x14ac:dyDescent="0.3">
      <c r="A1122" s="57" t="s">
        <v>1385</v>
      </c>
      <c r="B1122" s="57" t="s">
        <v>236</v>
      </c>
      <c r="C1122" s="57" t="s">
        <v>237</v>
      </c>
      <c r="D1122" s="57" t="s">
        <v>151</v>
      </c>
      <c r="E1122" s="57" t="s">
        <v>252</v>
      </c>
      <c r="F1122">
        <v>7</v>
      </c>
      <c r="G1122">
        <v>4911</v>
      </c>
      <c r="H1122" s="11">
        <v>45277</v>
      </c>
      <c r="I1122" s="57" t="s">
        <v>242</v>
      </c>
      <c r="J1122" s="57" t="s">
        <v>150</v>
      </c>
      <c r="K1122" s="57" t="s">
        <v>197</v>
      </c>
      <c r="L1122" t="s">
        <v>240</v>
      </c>
    </row>
    <row r="1123" spans="1:12" x14ac:dyDescent="0.3">
      <c r="A1123" s="57" t="s">
        <v>1386</v>
      </c>
      <c r="B1123" s="57" t="s">
        <v>251</v>
      </c>
      <c r="C1123" s="57" t="s">
        <v>237</v>
      </c>
      <c r="D1123" s="57" t="s">
        <v>238</v>
      </c>
      <c r="E1123" s="57" t="s">
        <v>260</v>
      </c>
      <c r="F1123">
        <v>10</v>
      </c>
      <c r="G1123">
        <v>7000</v>
      </c>
      <c r="H1123" s="11">
        <v>45562</v>
      </c>
      <c r="I1123" s="57" t="s">
        <v>291</v>
      </c>
      <c r="J1123" s="57" t="s">
        <v>248</v>
      </c>
      <c r="K1123" s="57" t="s">
        <v>239</v>
      </c>
      <c r="L1123" t="s">
        <v>243</v>
      </c>
    </row>
    <row r="1124" spans="1:12" x14ac:dyDescent="0.3">
      <c r="A1124" s="57" t="s">
        <v>1387</v>
      </c>
      <c r="B1124" s="57" t="s">
        <v>245</v>
      </c>
      <c r="C1124" s="57" t="s">
        <v>237</v>
      </c>
      <c r="D1124" s="57" t="s">
        <v>144</v>
      </c>
      <c r="E1124" s="57" t="s">
        <v>149</v>
      </c>
      <c r="F1124">
        <v>0</v>
      </c>
      <c r="G1124">
        <v>7000</v>
      </c>
      <c r="H1124" s="11">
        <v>44929</v>
      </c>
      <c r="I1124" s="57" t="s">
        <v>100</v>
      </c>
      <c r="J1124" s="57" t="s">
        <v>248</v>
      </c>
      <c r="K1124" s="57" t="s">
        <v>249</v>
      </c>
      <c r="L1124" t="s">
        <v>243</v>
      </c>
    </row>
    <row r="1125" spans="1:12" x14ac:dyDescent="0.3">
      <c r="A1125" s="57" t="s">
        <v>1388</v>
      </c>
      <c r="B1125" s="57" t="s">
        <v>195</v>
      </c>
      <c r="C1125" s="57" t="s">
        <v>196</v>
      </c>
      <c r="D1125" s="57" t="s">
        <v>238</v>
      </c>
      <c r="E1125" s="57" t="s">
        <v>256</v>
      </c>
      <c r="F1125">
        <v>0</v>
      </c>
      <c r="G1125">
        <v>7000</v>
      </c>
      <c r="H1125" s="11">
        <v>45360</v>
      </c>
      <c r="I1125" s="57" t="s">
        <v>100</v>
      </c>
      <c r="J1125" s="57" t="s">
        <v>150</v>
      </c>
      <c r="K1125" s="57" t="s">
        <v>238</v>
      </c>
      <c r="L1125" t="s">
        <v>243</v>
      </c>
    </row>
    <row r="1126" spans="1:12" x14ac:dyDescent="0.3">
      <c r="A1126" s="57" t="s">
        <v>1389</v>
      </c>
      <c r="B1126" s="57" t="s">
        <v>273</v>
      </c>
      <c r="C1126" s="57" t="s">
        <v>237</v>
      </c>
      <c r="D1126" s="57" t="s">
        <v>238</v>
      </c>
      <c r="E1126" s="57" t="s">
        <v>260</v>
      </c>
      <c r="F1126">
        <v>5</v>
      </c>
      <c r="G1126">
        <v>7000</v>
      </c>
      <c r="H1126" s="11">
        <v>45541</v>
      </c>
      <c r="I1126" s="57" t="s">
        <v>92</v>
      </c>
      <c r="J1126" s="57" t="s">
        <v>150</v>
      </c>
      <c r="K1126" s="57" t="s">
        <v>239</v>
      </c>
      <c r="L1126" t="s">
        <v>243</v>
      </c>
    </row>
    <row r="1127" spans="1:12" x14ac:dyDescent="0.3">
      <c r="A1127" s="57" t="s">
        <v>1390</v>
      </c>
      <c r="B1127" s="57" t="s">
        <v>251</v>
      </c>
      <c r="C1127" s="57" t="s">
        <v>237</v>
      </c>
      <c r="D1127" s="57" t="s">
        <v>151</v>
      </c>
      <c r="E1127" s="57" t="s">
        <v>149</v>
      </c>
      <c r="F1127">
        <v>9</v>
      </c>
      <c r="G1127">
        <v>7000</v>
      </c>
      <c r="H1127" s="11">
        <v>45018</v>
      </c>
      <c r="I1127" s="57" t="s">
        <v>100</v>
      </c>
      <c r="J1127" s="57" t="s">
        <v>248</v>
      </c>
      <c r="K1127" s="57" t="s">
        <v>197</v>
      </c>
      <c r="L1127" t="s">
        <v>243</v>
      </c>
    </row>
    <row r="1128" spans="1:12" x14ac:dyDescent="0.3">
      <c r="A1128" s="57" t="s">
        <v>1391</v>
      </c>
      <c r="B1128" s="57" t="s">
        <v>251</v>
      </c>
      <c r="C1128" s="57" t="s">
        <v>237</v>
      </c>
      <c r="D1128" s="57" t="s">
        <v>148</v>
      </c>
      <c r="E1128" s="57" t="s">
        <v>256</v>
      </c>
      <c r="F1128">
        <v>0</v>
      </c>
      <c r="G1128">
        <v>7000</v>
      </c>
      <c r="H1128" s="11">
        <v>45534</v>
      </c>
      <c r="I1128" s="57" t="s">
        <v>89</v>
      </c>
      <c r="J1128" s="57" t="s">
        <v>150</v>
      </c>
      <c r="K1128" s="57" t="s">
        <v>253</v>
      </c>
      <c r="L1128" t="s">
        <v>243</v>
      </c>
    </row>
    <row r="1129" spans="1:12" x14ac:dyDescent="0.3">
      <c r="A1129" s="57" t="s">
        <v>1392</v>
      </c>
      <c r="B1129" s="57" t="s">
        <v>262</v>
      </c>
      <c r="C1129" s="57" t="s">
        <v>263</v>
      </c>
      <c r="D1129" s="57" t="s">
        <v>141</v>
      </c>
      <c r="E1129" s="57" t="s">
        <v>149</v>
      </c>
      <c r="F1129">
        <v>10</v>
      </c>
      <c r="G1129">
        <v>7000</v>
      </c>
      <c r="H1129" s="11">
        <v>45217</v>
      </c>
      <c r="I1129" s="57" t="s">
        <v>100</v>
      </c>
      <c r="J1129" s="57" t="s">
        <v>248</v>
      </c>
      <c r="K1129" s="57" t="s">
        <v>197</v>
      </c>
      <c r="L1129" t="s">
        <v>243</v>
      </c>
    </row>
    <row r="1130" spans="1:12" x14ac:dyDescent="0.3">
      <c r="A1130" s="57" t="s">
        <v>1393</v>
      </c>
      <c r="B1130" s="57" t="s">
        <v>251</v>
      </c>
      <c r="C1130" s="57" t="s">
        <v>237</v>
      </c>
      <c r="D1130" s="57" t="s">
        <v>141</v>
      </c>
      <c r="E1130" s="57" t="s">
        <v>142</v>
      </c>
      <c r="F1130">
        <v>5</v>
      </c>
      <c r="G1130">
        <v>381</v>
      </c>
      <c r="H1130" s="11">
        <v>45241</v>
      </c>
      <c r="I1130" s="57" t="s">
        <v>242</v>
      </c>
      <c r="J1130" s="57" t="s">
        <v>143</v>
      </c>
      <c r="K1130" s="57" t="s">
        <v>239</v>
      </c>
      <c r="L1130" t="s">
        <v>302</v>
      </c>
    </row>
    <row r="1131" spans="1:12" x14ac:dyDescent="0.3">
      <c r="A1131" s="57" t="s">
        <v>1394</v>
      </c>
      <c r="B1131" s="57" t="s">
        <v>275</v>
      </c>
      <c r="C1131" s="57" t="s">
        <v>276</v>
      </c>
      <c r="D1131" s="57" t="s">
        <v>144</v>
      </c>
      <c r="E1131" s="57" t="s">
        <v>142</v>
      </c>
      <c r="F1131">
        <v>5</v>
      </c>
      <c r="G1131">
        <v>5900</v>
      </c>
      <c r="H1131" s="11">
        <v>44991</v>
      </c>
      <c r="I1131" s="57" t="s">
        <v>100</v>
      </c>
      <c r="J1131" s="57" t="s">
        <v>248</v>
      </c>
      <c r="K1131" s="57" t="s">
        <v>239</v>
      </c>
      <c r="L1131" t="s">
        <v>240</v>
      </c>
    </row>
    <row r="1132" spans="1:12" x14ac:dyDescent="0.3">
      <c r="A1132" s="57" t="s">
        <v>1395</v>
      </c>
      <c r="B1132" s="57" t="s">
        <v>251</v>
      </c>
      <c r="C1132" s="57" t="s">
        <v>237</v>
      </c>
      <c r="D1132" s="57" t="s">
        <v>153</v>
      </c>
      <c r="E1132" s="57" t="s">
        <v>149</v>
      </c>
      <c r="F1132">
        <v>3</v>
      </c>
      <c r="G1132">
        <v>7000</v>
      </c>
      <c r="H1132" s="11">
        <v>45506</v>
      </c>
      <c r="I1132" s="57" t="s">
        <v>95</v>
      </c>
      <c r="J1132" s="57" t="s">
        <v>143</v>
      </c>
      <c r="K1132" s="57" t="s">
        <v>264</v>
      </c>
      <c r="L1132" t="s">
        <v>243</v>
      </c>
    </row>
    <row r="1133" spans="1:12" x14ac:dyDescent="0.3">
      <c r="A1133" s="57" t="s">
        <v>1396</v>
      </c>
      <c r="B1133" s="57" t="s">
        <v>262</v>
      </c>
      <c r="C1133" s="57" t="s">
        <v>263</v>
      </c>
      <c r="D1133" s="57" t="s">
        <v>153</v>
      </c>
      <c r="E1133" s="57" t="s">
        <v>260</v>
      </c>
      <c r="F1133">
        <v>1</v>
      </c>
      <c r="G1133">
        <v>7000</v>
      </c>
      <c r="H1133" s="11">
        <v>45396</v>
      </c>
      <c r="I1133" s="57" t="s">
        <v>242</v>
      </c>
      <c r="J1133" s="57" t="s">
        <v>145</v>
      </c>
      <c r="K1133" s="57" t="s">
        <v>249</v>
      </c>
      <c r="L1133" t="s">
        <v>243</v>
      </c>
    </row>
    <row r="1134" spans="1:12" x14ac:dyDescent="0.3">
      <c r="A1134" s="57" t="s">
        <v>1397</v>
      </c>
      <c r="B1134" s="57" t="s">
        <v>236</v>
      </c>
      <c r="C1134" s="57" t="s">
        <v>237</v>
      </c>
      <c r="D1134" s="57" t="s">
        <v>153</v>
      </c>
      <c r="E1134" s="57" t="s">
        <v>149</v>
      </c>
      <c r="F1134">
        <v>5</v>
      </c>
      <c r="G1134">
        <v>7000</v>
      </c>
      <c r="H1134" s="11">
        <v>45297</v>
      </c>
      <c r="I1134" s="57" t="s">
        <v>257</v>
      </c>
      <c r="J1134" s="57" t="s">
        <v>147</v>
      </c>
      <c r="K1134" s="57" t="s">
        <v>239</v>
      </c>
      <c r="L1134" t="s">
        <v>243</v>
      </c>
    </row>
    <row r="1135" spans="1:12" x14ac:dyDescent="0.3">
      <c r="A1135" s="57" t="s">
        <v>1398</v>
      </c>
      <c r="B1135" s="57" t="s">
        <v>273</v>
      </c>
      <c r="C1135" s="57" t="s">
        <v>237</v>
      </c>
      <c r="D1135" s="57" t="s">
        <v>146</v>
      </c>
      <c r="E1135" s="57" t="s">
        <v>260</v>
      </c>
      <c r="F1135">
        <v>0</v>
      </c>
      <c r="G1135">
        <v>4175</v>
      </c>
      <c r="H1135" s="11">
        <v>45014</v>
      </c>
      <c r="I1135" s="57" t="s">
        <v>266</v>
      </c>
      <c r="J1135" s="57" t="s">
        <v>145</v>
      </c>
      <c r="K1135" s="57" t="s">
        <v>197</v>
      </c>
      <c r="L1135" t="s">
        <v>240</v>
      </c>
    </row>
    <row r="1136" spans="1:12" x14ac:dyDescent="0.3">
      <c r="A1136" s="57" t="s">
        <v>1399</v>
      </c>
      <c r="B1136" s="57" t="s">
        <v>255</v>
      </c>
      <c r="C1136" s="57" t="s">
        <v>237</v>
      </c>
      <c r="D1136" s="57" t="s">
        <v>148</v>
      </c>
      <c r="E1136" s="57" t="s">
        <v>142</v>
      </c>
      <c r="F1136">
        <v>7</v>
      </c>
      <c r="G1136">
        <v>3996</v>
      </c>
      <c r="H1136" s="11">
        <v>45120</v>
      </c>
      <c r="I1136" s="57" t="s">
        <v>89</v>
      </c>
      <c r="J1136" s="57" t="s">
        <v>150</v>
      </c>
      <c r="K1136" s="57" t="s">
        <v>239</v>
      </c>
      <c r="L1136" t="s">
        <v>258</v>
      </c>
    </row>
    <row r="1137" spans="1:12" x14ac:dyDescent="0.3">
      <c r="A1137" s="57" t="s">
        <v>1400</v>
      </c>
      <c r="B1137" s="57" t="s">
        <v>195</v>
      </c>
      <c r="C1137" s="57" t="s">
        <v>196</v>
      </c>
      <c r="D1137" s="57" t="s">
        <v>238</v>
      </c>
      <c r="E1137" s="57" t="s">
        <v>142</v>
      </c>
      <c r="F1137">
        <v>7</v>
      </c>
      <c r="G1137">
        <v>5900</v>
      </c>
      <c r="H1137" s="11">
        <v>45409</v>
      </c>
      <c r="I1137" s="57" t="s">
        <v>266</v>
      </c>
      <c r="J1137" s="57" t="s">
        <v>150</v>
      </c>
      <c r="K1137" s="57" t="s">
        <v>253</v>
      </c>
      <c r="L1137" t="s">
        <v>240</v>
      </c>
    </row>
    <row r="1138" spans="1:12" x14ac:dyDescent="0.3">
      <c r="A1138" s="57" t="s">
        <v>1401</v>
      </c>
      <c r="B1138" s="57" t="s">
        <v>247</v>
      </c>
      <c r="C1138" s="57" t="s">
        <v>237</v>
      </c>
      <c r="D1138" s="57" t="s">
        <v>146</v>
      </c>
      <c r="E1138" s="57" t="s">
        <v>149</v>
      </c>
      <c r="F1138">
        <v>5</v>
      </c>
      <c r="G1138">
        <v>5900</v>
      </c>
      <c r="H1138" s="11">
        <v>45622</v>
      </c>
      <c r="I1138" s="57" t="s">
        <v>257</v>
      </c>
      <c r="J1138" s="57" t="s">
        <v>150</v>
      </c>
      <c r="K1138" s="57" t="s">
        <v>239</v>
      </c>
      <c r="L1138" t="s">
        <v>240</v>
      </c>
    </row>
    <row r="1139" spans="1:12" x14ac:dyDescent="0.3">
      <c r="A1139" s="57" t="s">
        <v>1402</v>
      </c>
      <c r="B1139" s="57" t="s">
        <v>245</v>
      </c>
      <c r="C1139" s="57" t="s">
        <v>237</v>
      </c>
      <c r="D1139" s="57" t="s">
        <v>238</v>
      </c>
      <c r="E1139" s="57" t="s">
        <v>260</v>
      </c>
      <c r="F1139">
        <v>6</v>
      </c>
      <c r="G1139">
        <v>7000</v>
      </c>
      <c r="H1139" s="11">
        <v>45019</v>
      </c>
      <c r="I1139" s="57" t="s">
        <v>92</v>
      </c>
      <c r="J1139" s="57" t="s">
        <v>150</v>
      </c>
      <c r="K1139" s="57" t="s">
        <v>239</v>
      </c>
      <c r="L1139" t="s">
        <v>243</v>
      </c>
    </row>
    <row r="1140" spans="1:12" x14ac:dyDescent="0.3">
      <c r="A1140" s="57" t="s">
        <v>1403</v>
      </c>
      <c r="B1140" s="57" t="s">
        <v>236</v>
      </c>
      <c r="C1140" s="57" t="s">
        <v>237</v>
      </c>
      <c r="D1140" s="57" t="s">
        <v>141</v>
      </c>
      <c r="E1140" s="57" t="s">
        <v>260</v>
      </c>
      <c r="F1140">
        <v>5</v>
      </c>
      <c r="G1140">
        <v>5900</v>
      </c>
      <c r="H1140" s="11">
        <v>45302</v>
      </c>
      <c r="I1140" s="57" t="s">
        <v>257</v>
      </c>
      <c r="J1140" s="57" t="s">
        <v>150</v>
      </c>
      <c r="K1140" s="57" t="s">
        <v>197</v>
      </c>
      <c r="L1140" t="s">
        <v>240</v>
      </c>
    </row>
    <row r="1141" spans="1:12" x14ac:dyDescent="0.3">
      <c r="A1141" s="57" t="s">
        <v>1404</v>
      </c>
      <c r="B1141" s="57" t="s">
        <v>195</v>
      </c>
      <c r="C1141" s="57" t="s">
        <v>196</v>
      </c>
      <c r="D1141" s="57" t="s">
        <v>146</v>
      </c>
      <c r="E1141" s="57" t="s">
        <v>260</v>
      </c>
      <c r="F1141">
        <v>0</v>
      </c>
      <c r="G1141">
        <v>1806</v>
      </c>
      <c r="H1141" s="11">
        <v>44995</v>
      </c>
      <c r="I1141" s="57" t="s">
        <v>92</v>
      </c>
      <c r="J1141" s="57" t="s">
        <v>248</v>
      </c>
      <c r="K1141" s="57" t="s">
        <v>253</v>
      </c>
      <c r="L1141" t="s">
        <v>258</v>
      </c>
    </row>
    <row r="1142" spans="1:12" x14ac:dyDescent="0.3">
      <c r="A1142" s="57" t="s">
        <v>1405</v>
      </c>
      <c r="B1142" s="57" t="s">
        <v>247</v>
      </c>
      <c r="C1142" s="57" t="s">
        <v>237</v>
      </c>
      <c r="D1142" s="57" t="s">
        <v>238</v>
      </c>
      <c r="E1142" s="57" t="s">
        <v>260</v>
      </c>
      <c r="F1142">
        <v>0</v>
      </c>
      <c r="G1142">
        <v>7000</v>
      </c>
      <c r="H1142" s="11">
        <v>45064</v>
      </c>
      <c r="I1142" s="57" t="s">
        <v>89</v>
      </c>
      <c r="J1142" s="57" t="s">
        <v>147</v>
      </c>
      <c r="K1142" s="57" t="s">
        <v>264</v>
      </c>
      <c r="L1142" t="s">
        <v>243</v>
      </c>
    </row>
    <row r="1143" spans="1:12" x14ac:dyDescent="0.3">
      <c r="A1143" s="57" t="s">
        <v>1406</v>
      </c>
      <c r="B1143" s="57" t="s">
        <v>273</v>
      </c>
      <c r="C1143" s="57" t="s">
        <v>237</v>
      </c>
      <c r="D1143" s="57" t="s">
        <v>151</v>
      </c>
      <c r="E1143" s="57" t="s">
        <v>149</v>
      </c>
      <c r="F1143">
        <v>0</v>
      </c>
      <c r="G1143">
        <v>2596</v>
      </c>
      <c r="H1143" s="11">
        <v>44937</v>
      </c>
      <c r="I1143" s="57" t="s">
        <v>291</v>
      </c>
      <c r="J1143" s="57" t="s">
        <v>248</v>
      </c>
      <c r="K1143" s="57" t="s">
        <v>197</v>
      </c>
      <c r="L1143" t="s">
        <v>258</v>
      </c>
    </row>
    <row r="1144" spans="1:12" x14ac:dyDescent="0.3">
      <c r="A1144" s="57" t="s">
        <v>1407</v>
      </c>
      <c r="B1144" s="57" t="s">
        <v>236</v>
      </c>
      <c r="C1144" s="57" t="s">
        <v>237</v>
      </c>
      <c r="D1144" s="57" t="s">
        <v>238</v>
      </c>
      <c r="E1144" s="57" t="s">
        <v>149</v>
      </c>
      <c r="F1144">
        <v>10</v>
      </c>
      <c r="G1144">
        <v>5900</v>
      </c>
      <c r="H1144" s="11">
        <v>45382</v>
      </c>
      <c r="I1144" s="57" t="s">
        <v>89</v>
      </c>
      <c r="J1144" s="57" t="s">
        <v>150</v>
      </c>
      <c r="K1144" s="57" t="s">
        <v>264</v>
      </c>
      <c r="L1144" t="s">
        <v>240</v>
      </c>
    </row>
    <row r="1145" spans="1:12" x14ac:dyDescent="0.3">
      <c r="A1145" s="57" t="s">
        <v>1408</v>
      </c>
      <c r="B1145" s="57" t="s">
        <v>262</v>
      </c>
      <c r="C1145" s="57" t="s">
        <v>263</v>
      </c>
      <c r="D1145" s="57" t="s">
        <v>238</v>
      </c>
      <c r="E1145" s="57" t="s">
        <v>260</v>
      </c>
      <c r="F1145">
        <v>10</v>
      </c>
      <c r="G1145">
        <v>7000</v>
      </c>
      <c r="H1145" s="11">
        <v>45369</v>
      </c>
      <c r="I1145" s="57" t="s">
        <v>95</v>
      </c>
      <c r="J1145" s="57" t="s">
        <v>143</v>
      </c>
      <c r="K1145" s="57" t="s">
        <v>197</v>
      </c>
      <c r="L1145" t="s">
        <v>243</v>
      </c>
    </row>
    <row r="1146" spans="1:12" x14ac:dyDescent="0.3">
      <c r="A1146" s="57" t="s">
        <v>1409</v>
      </c>
      <c r="B1146" s="57" t="s">
        <v>245</v>
      </c>
      <c r="C1146" s="57" t="s">
        <v>237</v>
      </c>
      <c r="D1146" s="57" t="s">
        <v>146</v>
      </c>
      <c r="E1146" s="57" t="s">
        <v>260</v>
      </c>
      <c r="F1146">
        <v>7</v>
      </c>
      <c r="G1146">
        <v>7000</v>
      </c>
      <c r="H1146" s="11">
        <v>45038</v>
      </c>
      <c r="I1146" s="57" t="s">
        <v>100</v>
      </c>
      <c r="J1146" s="57" t="s">
        <v>145</v>
      </c>
      <c r="K1146" s="57" t="s">
        <v>239</v>
      </c>
      <c r="L1146" t="s">
        <v>243</v>
      </c>
    </row>
    <row r="1147" spans="1:12" x14ac:dyDescent="0.3">
      <c r="A1147" s="57" t="s">
        <v>1410</v>
      </c>
      <c r="B1147" s="57" t="s">
        <v>251</v>
      </c>
      <c r="C1147" s="57" t="s">
        <v>237</v>
      </c>
      <c r="D1147" s="57" t="s">
        <v>238</v>
      </c>
      <c r="E1147" s="57" t="s">
        <v>260</v>
      </c>
      <c r="F1147">
        <v>10</v>
      </c>
      <c r="G1147">
        <v>2218</v>
      </c>
      <c r="H1147" s="11">
        <v>45339</v>
      </c>
      <c r="I1147" s="57" t="s">
        <v>100</v>
      </c>
      <c r="J1147" s="57" t="s">
        <v>248</v>
      </c>
      <c r="K1147" s="57" t="s">
        <v>239</v>
      </c>
      <c r="L1147" t="s">
        <v>258</v>
      </c>
    </row>
    <row r="1148" spans="1:12" x14ac:dyDescent="0.3">
      <c r="A1148" s="57" t="s">
        <v>1411</v>
      </c>
      <c r="B1148" s="57" t="s">
        <v>262</v>
      </c>
      <c r="C1148" s="57" t="s">
        <v>263</v>
      </c>
      <c r="D1148" s="57" t="s">
        <v>152</v>
      </c>
      <c r="E1148" s="57" t="s">
        <v>260</v>
      </c>
      <c r="F1148">
        <v>5</v>
      </c>
      <c r="G1148">
        <v>7000</v>
      </c>
      <c r="H1148" s="11">
        <v>45275</v>
      </c>
      <c r="I1148" s="57" t="s">
        <v>242</v>
      </c>
      <c r="J1148" s="57" t="s">
        <v>145</v>
      </c>
      <c r="K1148" s="57" t="s">
        <v>249</v>
      </c>
      <c r="L1148" t="s">
        <v>243</v>
      </c>
    </row>
    <row r="1149" spans="1:12" x14ac:dyDescent="0.3">
      <c r="A1149" s="57" t="s">
        <v>1412</v>
      </c>
      <c r="B1149" s="57" t="s">
        <v>236</v>
      </c>
      <c r="C1149" s="57" t="s">
        <v>237</v>
      </c>
      <c r="D1149" s="57" t="s">
        <v>151</v>
      </c>
      <c r="E1149" s="57" t="s">
        <v>142</v>
      </c>
      <c r="F1149">
        <v>0</v>
      </c>
      <c r="G1149">
        <v>7000</v>
      </c>
      <c r="H1149" s="11">
        <v>45406</v>
      </c>
      <c r="I1149" s="57" t="s">
        <v>242</v>
      </c>
      <c r="J1149" s="57" t="s">
        <v>248</v>
      </c>
      <c r="K1149" s="57" t="s">
        <v>239</v>
      </c>
      <c r="L1149" t="s">
        <v>243</v>
      </c>
    </row>
    <row r="1150" spans="1:12" x14ac:dyDescent="0.3">
      <c r="A1150" s="57" t="s">
        <v>1413</v>
      </c>
      <c r="B1150" s="57" t="s">
        <v>236</v>
      </c>
      <c r="C1150" s="57" t="s">
        <v>237</v>
      </c>
      <c r="D1150" s="57" t="s">
        <v>146</v>
      </c>
      <c r="E1150" s="57" t="s">
        <v>149</v>
      </c>
      <c r="F1150">
        <v>10</v>
      </c>
      <c r="G1150">
        <v>7000</v>
      </c>
      <c r="H1150" s="11">
        <v>45414</v>
      </c>
      <c r="I1150" s="57" t="s">
        <v>95</v>
      </c>
      <c r="J1150" s="57" t="s">
        <v>145</v>
      </c>
      <c r="K1150" s="57" t="s">
        <v>197</v>
      </c>
      <c r="L1150" t="s">
        <v>243</v>
      </c>
    </row>
    <row r="1151" spans="1:12" x14ac:dyDescent="0.3">
      <c r="A1151" s="57" t="s">
        <v>1414</v>
      </c>
      <c r="B1151" s="57" t="s">
        <v>195</v>
      </c>
      <c r="C1151" s="57" t="s">
        <v>196</v>
      </c>
      <c r="D1151" s="57" t="s">
        <v>152</v>
      </c>
      <c r="E1151" s="57" t="s">
        <v>149</v>
      </c>
      <c r="F1151">
        <v>7</v>
      </c>
      <c r="G1151">
        <v>7000</v>
      </c>
      <c r="H1151" s="11">
        <v>44963</v>
      </c>
      <c r="I1151" s="57" t="s">
        <v>257</v>
      </c>
      <c r="J1151" s="57" t="s">
        <v>150</v>
      </c>
      <c r="K1151" s="57" t="s">
        <v>238</v>
      </c>
      <c r="L1151" t="s">
        <v>243</v>
      </c>
    </row>
    <row r="1152" spans="1:12" x14ac:dyDescent="0.3">
      <c r="A1152" s="57" t="s">
        <v>1415</v>
      </c>
      <c r="B1152" s="57" t="s">
        <v>195</v>
      </c>
      <c r="C1152" s="57" t="s">
        <v>196</v>
      </c>
      <c r="D1152" s="57" t="s">
        <v>148</v>
      </c>
      <c r="E1152" s="57" t="s">
        <v>256</v>
      </c>
      <c r="F1152">
        <v>9</v>
      </c>
      <c r="G1152">
        <v>5900</v>
      </c>
      <c r="H1152" s="11">
        <v>45346</v>
      </c>
      <c r="I1152" s="57" t="s">
        <v>89</v>
      </c>
      <c r="J1152" s="57" t="s">
        <v>147</v>
      </c>
      <c r="K1152" s="57" t="s">
        <v>253</v>
      </c>
      <c r="L1152" t="s">
        <v>240</v>
      </c>
    </row>
    <row r="1153" spans="1:12" x14ac:dyDescent="0.3">
      <c r="A1153" s="57" t="s">
        <v>1416</v>
      </c>
      <c r="B1153" s="57" t="s">
        <v>255</v>
      </c>
      <c r="C1153" s="57" t="s">
        <v>237</v>
      </c>
      <c r="D1153" s="57" t="s">
        <v>238</v>
      </c>
      <c r="E1153" s="57" t="s">
        <v>256</v>
      </c>
      <c r="F1153">
        <v>10</v>
      </c>
      <c r="G1153">
        <v>5900</v>
      </c>
      <c r="H1153" s="11">
        <v>45531</v>
      </c>
      <c r="I1153" s="57" t="s">
        <v>257</v>
      </c>
      <c r="J1153" s="57" t="s">
        <v>150</v>
      </c>
      <c r="K1153" s="57" t="s">
        <v>239</v>
      </c>
      <c r="L1153" t="s">
        <v>240</v>
      </c>
    </row>
    <row r="1154" spans="1:12" x14ac:dyDescent="0.3">
      <c r="A1154" s="57" t="s">
        <v>1417</v>
      </c>
      <c r="B1154" s="57" t="s">
        <v>268</v>
      </c>
      <c r="C1154" s="57" t="s">
        <v>269</v>
      </c>
      <c r="D1154" s="57" t="s">
        <v>238</v>
      </c>
      <c r="E1154" s="57" t="s">
        <v>256</v>
      </c>
      <c r="F1154">
        <v>5</v>
      </c>
      <c r="G1154">
        <v>7000</v>
      </c>
      <c r="H1154" s="11">
        <v>45398</v>
      </c>
      <c r="I1154" s="57" t="s">
        <v>92</v>
      </c>
      <c r="J1154" s="57" t="s">
        <v>147</v>
      </c>
      <c r="K1154" s="57" t="s">
        <v>238</v>
      </c>
      <c r="L1154" t="s">
        <v>243</v>
      </c>
    </row>
    <row r="1155" spans="1:12" x14ac:dyDescent="0.3">
      <c r="A1155" s="57" t="s">
        <v>1418</v>
      </c>
      <c r="B1155" s="57" t="s">
        <v>247</v>
      </c>
      <c r="C1155" s="57" t="s">
        <v>237</v>
      </c>
      <c r="D1155" s="57" t="s">
        <v>238</v>
      </c>
      <c r="E1155" s="57" t="s">
        <v>256</v>
      </c>
      <c r="F1155">
        <v>7</v>
      </c>
      <c r="G1155">
        <v>5900</v>
      </c>
      <c r="H1155" s="11">
        <v>45385</v>
      </c>
      <c r="I1155" s="57" t="s">
        <v>92</v>
      </c>
      <c r="J1155" s="57" t="s">
        <v>147</v>
      </c>
      <c r="K1155" s="57" t="s">
        <v>197</v>
      </c>
      <c r="L1155" t="s">
        <v>240</v>
      </c>
    </row>
    <row r="1156" spans="1:12" x14ac:dyDescent="0.3">
      <c r="A1156" s="57" t="s">
        <v>1419</v>
      </c>
      <c r="B1156" s="57" t="s">
        <v>251</v>
      </c>
      <c r="C1156" s="57" t="s">
        <v>237</v>
      </c>
      <c r="D1156" s="57" t="s">
        <v>152</v>
      </c>
      <c r="E1156" s="57" t="s">
        <v>260</v>
      </c>
      <c r="F1156">
        <v>7</v>
      </c>
      <c r="G1156">
        <v>7000</v>
      </c>
      <c r="H1156" s="11">
        <v>44927</v>
      </c>
      <c r="I1156" s="57" t="s">
        <v>100</v>
      </c>
      <c r="J1156" s="57" t="s">
        <v>248</v>
      </c>
      <c r="K1156" s="57" t="s">
        <v>264</v>
      </c>
      <c r="L1156" t="s">
        <v>243</v>
      </c>
    </row>
    <row r="1157" spans="1:12" x14ac:dyDescent="0.3">
      <c r="A1157" s="57" t="s">
        <v>1420</v>
      </c>
      <c r="B1157" s="57" t="s">
        <v>247</v>
      </c>
      <c r="C1157" s="57" t="s">
        <v>237</v>
      </c>
      <c r="D1157" s="57" t="s">
        <v>148</v>
      </c>
      <c r="E1157" s="57" t="s">
        <v>252</v>
      </c>
      <c r="F1157">
        <v>10</v>
      </c>
      <c r="G1157">
        <v>5900</v>
      </c>
      <c r="H1157" s="11">
        <v>45119</v>
      </c>
      <c r="I1157" s="57" t="s">
        <v>242</v>
      </c>
      <c r="J1157" s="57" t="s">
        <v>248</v>
      </c>
      <c r="K1157" s="57" t="s">
        <v>253</v>
      </c>
      <c r="L1157" t="s">
        <v>240</v>
      </c>
    </row>
    <row r="1158" spans="1:12" x14ac:dyDescent="0.3">
      <c r="A1158" s="57" t="s">
        <v>1421</v>
      </c>
      <c r="B1158" s="57" t="s">
        <v>262</v>
      </c>
      <c r="C1158" s="57" t="s">
        <v>263</v>
      </c>
      <c r="D1158" s="57" t="s">
        <v>153</v>
      </c>
      <c r="E1158" s="57" t="s">
        <v>256</v>
      </c>
      <c r="F1158">
        <v>7</v>
      </c>
      <c r="G1158">
        <v>7000</v>
      </c>
      <c r="H1158" s="11">
        <v>45441</v>
      </c>
      <c r="I1158" s="57" t="s">
        <v>89</v>
      </c>
      <c r="J1158" s="57" t="s">
        <v>150</v>
      </c>
      <c r="K1158" s="57" t="s">
        <v>197</v>
      </c>
      <c r="L1158" t="s">
        <v>243</v>
      </c>
    </row>
    <row r="1159" spans="1:12" x14ac:dyDescent="0.3">
      <c r="A1159" s="57" t="s">
        <v>1422</v>
      </c>
      <c r="B1159" s="57" t="s">
        <v>255</v>
      </c>
      <c r="C1159" s="57" t="s">
        <v>237</v>
      </c>
      <c r="D1159" s="57" t="s">
        <v>141</v>
      </c>
      <c r="E1159" s="57" t="s">
        <v>142</v>
      </c>
      <c r="F1159">
        <v>7</v>
      </c>
      <c r="G1159">
        <v>7000</v>
      </c>
      <c r="H1159" s="11">
        <v>45224</v>
      </c>
      <c r="I1159" s="57" t="s">
        <v>92</v>
      </c>
      <c r="J1159" s="57" t="s">
        <v>145</v>
      </c>
      <c r="K1159" s="57" t="s">
        <v>238</v>
      </c>
      <c r="L1159" t="s">
        <v>243</v>
      </c>
    </row>
    <row r="1160" spans="1:12" x14ac:dyDescent="0.3">
      <c r="A1160" s="57" t="s">
        <v>1423</v>
      </c>
      <c r="B1160" s="57" t="s">
        <v>247</v>
      </c>
      <c r="C1160" s="57" t="s">
        <v>237</v>
      </c>
      <c r="D1160" s="57" t="s">
        <v>238</v>
      </c>
      <c r="E1160" s="57" t="s">
        <v>252</v>
      </c>
      <c r="F1160">
        <v>1</v>
      </c>
      <c r="G1160">
        <v>7000</v>
      </c>
      <c r="H1160" s="11">
        <v>45288</v>
      </c>
      <c r="I1160" s="57" t="s">
        <v>95</v>
      </c>
      <c r="J1160" s="57" t="s">
        <v>248</v>
      </c>
      <c r="K1160" s="57" t="s">
        <v>197</v>
      </c>
      <c r="L1160" t="s">
        <v>243</v>
      </c>
    </row>
    <row r="1161" spans="1:12" x14ac:dyDescent="0.3">
      <c r="A1161" s="57" t="s">
        <v>1424</v>
      </c>
      <c r="B1161" s="57" t="s">
        <v>251</v>
      </c>
      <c r="C1161" s="57" t="s">
        <v>237</v>
      </c>
      <c r="D1161" s="57" t="s">
        <v>141</v>
      </c>
      <c r="E1161" s="57" t="s">
        <v>142</v>
      </c>
      <c r="F1161">
        <v>7</v>
      </c>
      <c r="G1161">
        <v>7000</v>
      </c>
      <c r="H1161" s="11">
        <v>45606</v>
      </c>
      <c r="I1161" s="57" t="s">
        <v>266</v>
      </c>
      <c r="J1161" s="57" t="s">
        <v>145</v>
      </c>
      <c r="K1161" s="57" t="s">
        <v>253</v>
      </c>
      <c r="L1161" t="s">
        <v>243</v>
      </c>
    </row>
    <row r="1162" spans="1:12" x14ac:dyDescent="0.3">
      <c r="A1162" s="57" t="s">
        <v>1425</v>
      </c>
      <c r="B1162" s="57" t="s">
        <v>236</v>
      </c>
      <c r="C1162" s="57" t="s">
        <v>237</v>
      </c>
      <c r="D1162" s="57" t="s">
        <v>152</v>
      </c>
      <c r="E1162" s="57" t="s">
        <v>149</v>
      </c>
      <c r="F1162">
        <v>5</v>
      </c>
      <c r="G1162">
        <v>7000</v>
      </c>
      <c r="H1162" s="11">
        <v>45270</v>
      </c>
      <c r="I1162" s="57" t="s">
        <v>92</v>
      </c>
      <c r="J1162" s="57" t="s">
        <v>147</v>
      </c>
      <c r="K1162" s="57" t="s">
        <v>239</v>
      </c>
      <c r="L1162" t="s">
        <v>243</v>
      </c>
    </row>
    <row r="1163" spans="1:12" x14ac:dyDescent="0.3">
      <c r="A1163" s="57" t="s">
        <v>1426</v>
      </c>
      <c r="B1163" s="57" t="s">
        <v>273</v>
      </c>
      <c r="C1163" s="57" t="s">
        <v>237</v>
      </c>
      <c r="D1163" s="57" t="s">
        <v>141</v>
      </c>
      <c r="E1163" s="57" t="s">
        <v>256</v>
      </c>
      <c r="F1163">
        <v>7</v>
      </c>
      <c r="G1163">
        <v>7000</v>
      </c>
      <c r="H1163" s="11">
        <v>45444</v>
      </c>
      <c r="I1163" s="57" t="s">
        <v>100</v>
      </c>
      <c r="J1163" s="57" t="s">
        <v>248</v>
      </c>
      <c r="K1163" s="57" t="s">
        <v>238</v>
      </c>
      <c r="L1163" t="s">
        <v>243</v>
      </c>
    </row>
    <row r="1164" spans="1:12" x14ac:dyDescent="0.3">
      <c r="A1164" s="57" t="s">
        <v>1427</v>
      </c>
      <c r="B1164" s="57" t="s">
        <v>268</v>
      </c>
      <c r="C1164" s="57" t="s">
        <v>269</v>
      </c>
      <c r="D1164" s="57" t="s">
        <v>148</v>
      </c>
      <c r="E1164" s="57" t="s">
        <v>256</v>
      </c>
      <c r="F1164">
        <v>7</v>
      </c>
      <c r="G1164">
        <v>7000</v>
      </c>
      <c r="H1164" s="11">
        <v>44960</v>
      </c>
      <c r="I1164" s="57" t="s">
        <v>291</v>
      </c>
      <c r="J1164" s="57" t="s">
        <v>248</v>
      </c>
      <c r="K1164" s="57" t="s">
        <v>253</v>
      </c>
      <c r="L1164" t="s">
        <v>243</v>
      </c>
    </row>
    <row r="1165" spans="1:12" x14ac:dyDescent="0.3">
      <c r="A1165" s="57" t="s">
        <v>1428</v>
      </c>
      <c r="B1165" s="57" t="s">
        <v>195</v>
      </c>
      <c r="C1165" s="57" t="s">
        <v>196</v>
      </c>
      <c r="D1165" s="57" t="s">
        <v>148</v>
      </c>
      <c r="E1165" s="57" t="s">
        <v>256</v>
      </c>
      <c r="F1165">
        <v>0</v>
      </c>
      <c r="G1165">
        <v>5900</v>
      </c>
      <c r="H1165" s="11">
        <v>45536</v>
      </c>
      <c r="I1165" s="57" t="s">
        <v>291</v>
      </c>
      <c r="J1165" s="57" t="s">
        <v>248</v>
      </c>
      <c r="K1165" s="57" t="s">
        <v>197</v>
      </c>
      <c r="L1165" t="s">
        <v>240</v>
      </c>
    </row>
    <row r="1166" spans="1:12" x14ac:dyDescent="0.3">
      <c r="A1166" s="57" t="s">
        <v>1429</v>
      </c>
      <c r="B1166" s="57" t="s">
        <v>245</v>
      </c>
      <c r="C1166" s="57" t="s">
        <v>237</v>
      </c>
      <c r="D1166" s="57" t="s">
        <v>144</v>
      </c>
      <c r="E1166" s="57" t="s">
        <v>252</v>
      </c>
      <c r="F1166">
        <v>7</v>
      </c>
      <c r="G1166">
        <v>691</v>
      </c>
      <c r="H1166" s="11">
        <v>45164</v>
      </c>
      <c r="I1166" s="57" t="s">
        <v>266</v>
      </c>
      <c r="J1166" s="57" t="s">
        <v>248</v>
      </c>
      <c r="K1166" s="57" t="s">
        <v>238</v>
      </c>
      <c r="L1166" t="s">
        <v>302</v>
      </c>
    </row>
    <row r="1167" spans="1:12" x14ac:dyDescent="0.3">
      <c r="A1167" s="57" t="s">
        <v>1430</v>
      </c>
      <c r="B1167" s="57" t="s">
        <v>268</v>
      </c>
      <c r="C1167" s="57" t="s">
        <v>269</v>
      </c>
      <c r="D1167" s="57" t="s">
        <v>238</v>
      </c>
      <c r="E1167" s="57" t="s">
        <v>149</v>
      </c>
      <c r="F1167">
        <v>7</v>
      </c>
      <c r="G1167">
        <v>2715</v>
      </c>
      <c r="H1167" s="11">
        <v>45458</v>
      </c>
      <c r="I1167" s="57" t="s">
        <v>266</v>
      </c>
      <c r="J1167" s="57" t="s">
        <v>150</v>
      </c>
      <c r="K1167" s="57" t="s">
        <v>239</v>
      </c>
      <c r="L1167" t="s">
        <v>258</v>
      </c>
    </row>
    <row r="1168" spans="1:12" x14ac:dyDescent="0.3">
      <c r="A1168" s="57" t="s">
        <v>1431</v>
      </c>
      <c r="B1168" s="57" t="s">
        <v>195</v>
      </c>
      <c r="C1168" s="57" t="s">
        <v>196</v>
      </c>
      <c r="D1168" s="57" t="s">
        <v>238</v>
      </c>
      <c r="E1168" s="57" t="s">
        <v>252</v>
      </c>
      <c r="F1168">
        <v>0</v>
      </c>
      <c r="G1168">
        <v>7000</v>
      </c>
      <c r="H1168" s="11">
        <v>45116</v>
      </c>
      <c r="I1168" s="57" t="s">
        <v>100</v>
      </c>
      <c r="J1168" s="57" t="s">
        <v>143</v>
      </c>
      <c r="K1168" s="57" t="s">
        <v>239</v>
      </c>
      <c r="L1168" t="s">
        <v>243</v>
      </c>
    </row>
    <row r="1169" spans="1:12" x14ac:dyDescent="0.3">
      <c r="A1169" s="57" t="s">
        <v>1432</v>
      </c>
      <c r="B1169" s="57" t="s">
        <v>275</v>
      </c>
      <c r="C1169" s="57" t="s">
        <v>276</v>
      </c>
      <c r="D1169" s="57" t="s">
        <v>151</v>
      </c>
      <c r="E1169" s="57" t="s">
        <v>142</v>
      </c>
      <c r="F1169">
        <v>10</v>
      </c>
      <c r="G1169">
        <v>5900</v>
      </c>
      <c r="H1169" s="11">
        <v>45491</v>
      </c>
      <c r="I1169" s="57" t="s">
        <v>92</v>
      </c>
      <c r="J1169" s="57" t="s">
        <v>150</v>
      </c>
      <c r="K1169" s="57" t="s">
        <v>239</v>
      </c>
      <c r="L1169" t="s">
        <v>240</v>
      </c>
    </row>
    <row r="1170" spans="1:12" x14ac:dyDescent="0.3">
      <c r="A1170" s="57" t="s">
        <v>1433</v>
      </c>
      <c r="B1170" s="57" t="s">
        <v>251</v>
      </c>
      <c r="C1170" s="57" t="s">
        <v>237</v>
      </c>
      <c r="D1170" s="57" t="s">
        <v>151</v>
      </c>
      <c r="E1170" s="57" t="s">
        <v>256</v>
      </c>
      <c r="F1170">
        <v>10</v>
      </c>
      <c r="G1170">
        <v>5900</v>
      </c>
      <c r="H1170" s="11">
        <v>45303</v>
      </c>
      <c r="I1170" s="57" t="s">
        <v>95</v>
      </c>
      <c r="J1170" s="57" t="s">
        <v>143</v>
      </c>
      <c r="K1170" s="57" t="s">
        <v>253</v>
      </c>
      <c r="L1170" t="s">
        <v>240</v>
      </c>
    </row>
    <row r="1171" spans="1:12" x14ac:dyDescent="0.3">
      <c r="A1171" s="57" t="s">
        <v>1434</v>
      </c>
      <c r="B1171" s="57" t="s">
        <v>251</v>
      </c>
      <c r="C1171" s="57" t="s">
        <v>237</v>
      </c>
      <c r="D1171" s="57" t="s">
        <v>151</v>
      </c>
      <c r="E1171" s="57" t="s">
        <v>256</v>
      </c>
      <c r="F1171">
        <v>1</v>
      </c>
      <c r="G1171">
        <v>1277</v>
      </c>
      <c r="H1171" s="11">
        <v>45112</v>
      </c>
      <c r="I1171" s="57" t="s">
        <v>89</v>
      </c>
      <c r="J1171" s="57" t="s">
        <v>150</v>
      </c>
      <c r="K1171" s="57" t="s">
        <v>239</v>
      </c>
      <c r="L1171" t="s">
        <v>258</v>
      </c>
    </row>
    <row r="1172" spans="1:12" x14ac:dyDescent="0.3">
      <c r="A1172" s="57" t="s">
        <v>1435</v>
      </c>
      <c r="B1172" s="57" t="s">
        <v>195</v>
      </c>
      <c r="C1172" s="57" t="s">
        <v>196</v>
      </c>
      <c r="D1172" s="57" t="s">
        <v>144</v>
      </c>
      <c r="E1172" s="57" t="s">
        <v>252</v>
      </c>
      <c r="F1172">
        <v>10</v>
      </c>
      <c r="G1172">
        <v>7000</v>
      </c>
      <c r="H1172" s="11">
        <v>45017</v>
      </c>
      <c r="I1172" s="57" t="s">
        <v>242</v>
      </c>
      <c r="J1172" s="57" t="s">
        <v>150</v>
      </c>
      <c r="K1172" s="57" t="s">
        <v>239</v>
      </c>
      <c r="L1172" t="s">
        <v>243</v>
      </c>
    </row>
    <row r="1173" spans="1:12" x14ac:dyDescent="0.3">
      <c r="A1173" s="57" t="s">
        <v>1436</v>
      </c>
      <c r="B1173" s="57" t="s">
        <v>247</v>
      </c>
      <c r="C1173" s="57" t="s">
        <v>237</v>
      </c>
      <c r="D1173" s="57" t="s">
        <v>146</v>
      </c>
      <c r="E1173" s="57" t="s">
        <v>142</v>
      </c>
      <c r="F1173">
        <v>5</v>
      </c>
      <c r="G1173">
        <v>7000</v>
      </c>
      <c r="H1173" s="11">
        <v>45367</v>
      </c>
      <c r="I1173" s="57" t="s">
        <v>100</v>
      </c>
      <c r="J1173" s="57" t="s">
        <v>147</v>
      </c>
      <c r="K1173" s="57" t="s">
        <v>264</v>
      </c>
      <c r="L1173" t="s">
        <v>243</v>
      </c>
    </row>
    <row r="1174" spans="1:12" x14ac:dyDescent="0.3">
      <c r="A1174" s="57" t="s">
        <v>1437</v>
      </c>
      <c r="B1174" s="57" t="s">
        <v>273</v>
      </c>
      <c r="C1174" s="57" t="s">
        <v>237</v>
      </c>
      <c r="D1174" s="57" t="s">
        <v>152</v>
      </c>
      <c r="E1174" s="57" t="s">
        <v>256</v>
      </c>
      <c r="F1174">
        <v>7</v>
      </c>
      <c r="G1174">
        <v>7000</v>
      </c>
      <c r="H1174" s="11">
        <v>45600</v>
      </c>
      <c r="I1174" s="57" t="s">
        <v>266</v>
      </c>
      <c r="J1174" s="57" t="s">
        <v>143</v>
      </c>
      <c r="K1174" s="57" t="s">
        <v>239</v>
      </c>
      <c r="L1174" t="s">
        <v>243</v>
      </c>
    </row>
    <row r="1175" spans="1:12" x14ac:dyDescent="0.3">
      <c r="A1175" s="57" t="s">
        <v>1438</v>
      </c>
      <c r="B1175" s="57" t="s">
        <v>255</v>
      </c>
      <c r="C1175" s="57" t="s">
        <v>237</v>
      </c>
      <c r="D1175" s="57" t="s">
        <v>141</v>
      </c>
      <c r="E1175" s="57" t="s">
        <v>260</v>
      </c>
      <c r="F1175">
        <v>0</v>
      </c>
      <c r="G1175">
        <v>7000</v>
      </c>
      <c r="H1175" s="11">
        <v>45519</v>
      </c>
      <c r="I1175" s="57" t="s">
        <v>291</v>
      </c>
      <c r="J1175" s="57" t="s">
        <v>150</v>
      </c>
      <c r="K1175" s="57" t="s">
        <v>238</v>
      </c>
      <c r="L1175" t="s">
        <v>243</v>
      </c>
    </row>
    <row r="1176" spans="1:12" x14ac:dyDescent="0.3">
      <c r="A1176" s="57" t="s">
        <v>1439</v>
      </c>
      <c r="B1176" s="57" t="s">
        <v>273</v>
      </c>
      <c r="C1176" s="57" t="s">
        <v>237</v>
      </c>
      <c r="D1176" s="57" t="s">
        <v>146</v>
      </c>
      <c r="E1176" s="57" t="s">
        <v>256</v>
      </c>
      <c r="F1176">
        <v>0</v>
      </c>
      <c r="G1176">
        <v>7000</v>
      </c>
      <c r="H1176" s="11">
        <v>45478</v>
      </c>
      <c r="I1176" s="57" t="s">
        <v>291</v>
      </c>
      <c r="J1176" s="57" t="s">
        <v>150</v>
      </c>
      <c r="K1176" s="57" t="s">
        <v>249</v>
      </c>
      <c r="L1176" t="s">
        <v>243</v>
      </c>
    </row>
    <row r="1177" spans="1:12" x14ac:dyDescent="0.3">
      <c r="A1177" s="57" t="s">
        <v>1440</v>
      </c>
      <c r="B1177" s="57" t="s">
        <v>275</v>
      </c>
      <c r="C1177" s="57" t="s">
        <v>276</v>
      </c>
      <c r="D1177" s="57" t="s">
        <v>151</v>
      </c>
      <c r="E1177" s="57" t="s">
        <v>142</v>
      </c>
      <c r="F1177">
        <v>5</v>
      </c>
      <c r="G1177">
        <v>4656</v>
      </c>
      <c r="H1177" s="11">
        <v>45602</v>
      </c>
      <c r="I1177" s="57" t="s">
        <v>257</v>
      </c>
      <c r="J1177" s="57" t="s">
        <v>145</v>
      </c>
      <c r="K1177" s="57" t="s">
        <v>239</v>
      </c>
      <c r="L1177" t="s">
        <v>240</v>
      </c>
    </row>
    <row r="1178" spans="1:12" x14ac:dyDescent="0.3">
      <c r="A1178" s="57" t="s">
        <v>1441</v>
      </c>
      <c r="B1178" s="57" t="s">
        <v>245</v>
      </c>
      <c r="C1178" s="57" t="s">
        <v>237</v>
      </c>
      <c r="D1178" s="57" t="s">
        <v>238</v>
      </c>
      <c r="E1178" s="57" t="s">
        <v>142</v>
      </c>
      <c r="F1178">
        <v>6</v>
      </c>
      <c r="G1178">
        <v>7000</v>
      </c>
      <c r="H1178" s="11">
        <v>45512</v>
      </c>
      <c r="I1178" s="57" t="s">
        <v>257</v>
      </c>
      <c r="J1178" s="57" t="s">
        <v>143</v>
      </c>
      <c r="K1178" s="57" t="s">
        <v>197</v>
      </c>
      <c r="L1178" t="s">
        <v>243</v>
      </c>
    </row>
    <row r="1179" spans="1:12" x14ac:dyDescent="0.3">
      <c r="A1179" s="57" t="s">
        <v>1442</v>
      </c>
      <c r="B1179" s="57" t="s">
        <v>273</v>
      </c>
      <c r="C1179" s="57" t="s">
        <v>237</v>
      </c>
      <c r="D1179" s="57" t="s">
        <v>151</v>
      </c>
      <c r="E1179" s="57" t="s">
        <v>149</v>
      </c>
      <c r="F1179">
        <v>2</v>
      </c>
      <c r="G1179">
        <v>5900</v>
      </c>
      <c r="H1179" s="11">
        <v>45260</v>
      </c>
      <c r="I1179" s="57" t="s">
        <v>257</v>
      </c>
      <c r="J1179" s="57" t="s">
        <v>150</v>
      </c>
      <c r="K1179" s="57" t="s">
        <v>238</v>
      </c>
      <c r="L1179" t="s">
        <v>240</v>
      </c>
    </row>
    <row r="1180" spans="1:12" x14ac:dyDescent="0.3">
      <c r="A1180" s="57" t="s">
        <v>1443</v>
      </c>
      <c r="B1180" s="57" t="s">
        <v>273</v>
      </c>
      <c r="C1180" s="57" t="s">
        <v>237</v>
      </c>
      <c r="D1180" s="57" t="s">
        <v>148</v>
      </c>
      <c r="E1180" s="57" t="s">
        <v>142</v>
      </c>
      <c r="F1180">
        <v>5</v>
      </c>
      <c r="G1180">
        <v>7000</v>
      </c>
      <c r="H1180" s="11">
        <v>44946</v>
      </c>
      <c r="I1180" s="57" t="s">
        <v>89</v>
      </c>
      <c r="J1180" s="57" t="s">
        <v>248</v>
      </c>
      <c r="K1180" s="57" t="s">
        <v>238</v>
      </c>
      <c r="L1180" t="s">
        <v>243</v>
      </c>
    </row>
    <row r="1181" spans="1:12" x14ac:dyDescent="0.3">
      <c r="A1181" s="57" t="s">
        <v>1444</v>
      </c>
      <c r="B1181" s="57" t="s">
        <v>268</v>
      </c>
      <c r="C1181" s="57" t="s">
        <v>269</v>
      </c>
      <c r="D1181" s="57" t="s">
        <v>238</v>
      </c>
      <c r="E1181" s="57" t="s">
        <v>256</v>
      </c>
      <c r="F1181">
        <v>5</v>
      </c>
      <c r="G1181">
        <v>7000</v>
      </c>
      <c r="H1181" s="11">
        <v>45536</v>
      </c>
      <c r="I1181" s="57" t="s">
        <v>89</v>
      </c>
      <c r="J1181" s="57" t="s">
        <v>147</v>
      </c>
      <c r="K1181" s="57" t="s">
        <v>197</v>
      </c>
      <c r="L1181" t="s">
        <v>243</v>
      </c>
    </row>
    <row r="1182" spans="1:12" x14ac:dyDescent="0.3">
      <c r="A1182" s="57" t="s">
        <v>1445</v>
      </c>
      <c r="B1182" s="57" t="s">
        <v>251</v>
      </c>
      <c r="C1182" s="57" t="s">
        <v>237</v>
      </c>
      <c r="D1182" s="57" t="s">
        <v>238</v>
      </c>
      <c r="E1182" s="57" t="s">
        <v>149</v>
      </c>
      <c r="F1182">
        <v>10</v>
      </c>
      <c r="G1182">
        <v>383</v>
      </c>
      <c r="H1182" s="11">
        <v>45212</v>
      </c>
      <c r="I1182" s="57" t="s">
        <v>100</v>
      </c>
      <c r="J1182" s="57" t="s">
        <v>145</v>
      </c>
      <c r="K1182" s="57" t="s">
        <v>253</v>
      </c>
      <c r="L1182" t="s">
        <v>302</v>
      </c>
    </row>
    <row r="1183" spans="1:12" x14ac:dyDescent="0.3">
      <c r="A1183" s="57" t="s">
        <v>1446</v>
      </c>
      <c r="B1183" s="57" t="s">
        <v>262</v>
      </c>
      <c r="C1183" s="57" t="s">
        <v>263</v>
      </c>
      <c r="D1183" s="57" t="s">
        <v>153</v>
      </c>
      <c r="E1183" s="57" t="s">
        <v>256</v>
      </c>
      <c r="F1183">
        <v>10</v>
      </c>
      <c r="G1183">
        <v>784</v>
      </c>
      <c r="H1183" s="11">
        <v>45524</v>
      </c>
      <c r="I1183" s="57" t="s">
        <v>266</v>
      </c>
      <c r="J1183" s="57" t="s">
        <v>248</v>
      </c>
      <c r="K1183" s="57" t="s">
        <v>239</v>
      </c>
      <c r="L1183" t="s">
        <v>302</v>
      </c>
    </row>
    <row r="1184" spans="1:12" x14ac:dyDescent="0.3">
      <c r="A1184" s="57" t="s">
        <v>1447</v>
      </c>
      <c r="B1184" s="57" t="s">
        <v>245</v>
      </c>
      <c r="C1184" s="57" t="s">
        <v>237</v>
      </c>
      <c r="D1184" s="57" t="s">
        <v>141</v>
      </c>
      <c r="E1184" s="57" t="s">
        <v>149</v>
      </c>
      <c r="F1184">
        <v>7</v>
      </c>
      <c r="G1184">
        <v>7000</v>
      </c>
      <c r="H1184" s="11">
        <v>45353</v>
      </c>
      <c r="I1184" s="57" t="s">
        <v>291</v>
      </c>
      <c r="J1184" s="57" t="s">
        <v>150</v>
      </c>
      <c r="K1184" s="57" t="s">
        <v>197</v>
      </c>
      <c r="L1184" t="s">
        <v>243</v>
      </c>
    </row>
    <row r="1185" spans="1:12" x14ac:dyDescent="0.3">
      <c r="A1185" s="57" t="s">
        <v>1448</v>
      </c>
      <c r="B1185" s="57" t="s">
        <v>195</v>
      </c>
      <c r="C1185" s="57" t="s">
        <v>196</v>
      </c>
      <c r="D1185" s="57" t="s">
        <v>144</v>
      </c>
      <c r="E1185" s="57" t="s">
        <v>256</v>
      </c>
      <c r="F1185">
        <v>4</v>
      </c>
      <c r="G1185">
        <v>622</v>
      </c>
      <c r="H1185" s="11">
        <v>45289</v>
      </c>
      <c r="I1185" s="57" t="s">
        <v>242</v>
      </c>
      <c r="J1185" s="57" t="s">
        <v>143</v>
      </c>
      <c r="K1185" s="57" t="s">
        <v>239</v>
      </c>
      <c r="L1185" t="s">
        <v>302</v>
      </c>
    </row>
    <row r="1186" spans="1:12" x14ac:dyDescent="0.3">
      <c r="A1186" s="57" t="s">
        <v>1449</v>
      </c>
      <c r="B1186" s="57" t="s">
        <v>236</v>
      </c>
      <c r="C1186" s="57" t="s">
        <v>237</v>
      </c>
      <c r="D1186" s="57" t="s">
        <v>151</v>
      </c>
      <c r="E1186" s="57" t="s">
        <v>142</v>
      </c>
      <c r="F1186">
        <v>10</v>
      </c>
      <c r="G1186">
        <v>7000</v>
      </c>
      <c r="H1186" s="11">
        <v>45101</v>
      </c>
      <c r="I1186" s="57" t="s">
        <v>266</v>
      </c>
      <c r="J1186" s="57" t="s">
        <v>248</v>
      </c>
      <c r="K1186" s="57" t="s">
        <v>197</v>
      </c>
      <c r="L1186" t="s">
        <v>243</v>
      </c>
    </row>
    <row r="1187" spans="1:12" x14ac:dyDescent="0.3">
      <c r="A1187" s="57" t="s">
        <v>1450</v>
      </c>
      <c r="B1187" s="57" t="s">
        <v>247</v>
      </c>
      <c r="C1187" s="57" t="s">
        <v>237</v>
      </c>
      <c r="D1187" s="57" t="s">
        <v>141</v>
      </c>
      <c r="E1187" s="57" t="s">
        <v>252</v>
      </c>
      <c r="F1187">
        <v>10</v>
      </c>
      <c r="G1187">
        <v>7000</v>
      </c>
      <c r="H1187" s="11">
        <v>45465</v>
      </c>
      <c r="I1187" s="57" t="s">
        <v>242</v>
      </c>
      <c r="J1187" s="57" t="s">
        <v>150</v>
      </c>
      <c r="K1187" s="57" t="s">
        <v>249</v>
      </c>
      <c r="L1187" t="s">
        <v>243</v>
      </c>
    </row>
    <row r="1188" spans="1:12" x14ac:dyDescent="0.3">
      <c r="A1188" s="57" t="s">
        <v>1451</v>
      </c>
      <c r="B1188" s="57" t="s">
        <v>255</v>
      </c>
      <c r="C1188" s="57" t="s">
        <v>237</v>
      </c>
      <c r="D1188" s="57" t="s">
        <v>153</v>
      </c>
      <c r="E1188" s="57" t="s">
        <v>252</v>
      </c>
      <c r="F1188">
        <v>5</v>
      </c>
      <c r="G1188">
        <v>7000</v>
      </c>
      <c r="H1188" s="11">
        <v>45206</v>
      </c>
      <c r="I1188" s="57" t="s">
        <v>266</v>
      </c>
      <c r="J1188" s="57" t="s">
        <v>145</v>
      </c>
      <c r="K1188" s="57" t="s">
        <v>238</v>
      </c>
      <c r="L1188" t="s">
        <v>243</v>
      </c>
    </row>
    <row r="1189" spans="1:12" x14ac:dyDescent="0.3">
      <c r="A1189" s="57" t="s">
        <v>1452</v>
      </c>
      <c r="B1189" s="57" t="s">
        <v>195</v>
      </c>
      <c r="C1189" s="57" t="s">
        <v>196</v>
      </c>
      <c r="D1189" s="57" t="s">
        <v>238</v>
      </c>
      <c r="E1189" s="57" t="s">
        <v>252</v>
      </c>
      <c r="F1189">
        <v>0</v>
      </c>
      <c r="G1189">
        <v>7000</v>
      </c>
      <c r="H1189" s="11">
        <v>45466</v>
      </c>
      <c r="I1189" s="57" t="s">
        <v>92</v>
      </c>
      <c r="J1189" s="57" t="s">
        <v>150</v>
      </c>
      <c r="K1189" s="57" t="s">
        <v>238</v>
      </c>
      <c r="L1189" t="s">
        <v>243</v>
      </c>
    </row>
    <row r="1190" spans="1:12" x14ac:dyDescent="0.3">
      <c r="A1190" s="57" t="s">
        <v>1453</v>
      </c>
      <c r="B1190" s="57" t="s">
        <v>236</v>
      </c>
      <c r="C1190" s="57" t="s">
        <v>237</v>
      </c>
      <c r="D1190" s="57" t="s">
        <v>238</v>
      </c>
      <c r="E1190" s="57" t="s">
        <v>149</v>
      </c>
      <c r="F1190">
        <v>10</v>
      </c>
      <c r="G1190">
        <v>4929</v>
      </c>
      <c r="H1190" s="11">
        <v>45481</v>
      </c>
      <c r="I1190" s="57" t="s">
        <v>291</v>
      </c>
      <c r="J1190" s="57" t="s">
        <v>147</v>
      </c>
      <c r="K1190" s="57" t="s">
        <v>238</v>
      </c>
      <c r="L1190" t="s">
        <v>240</v>
      </c>
    </row>
    <row r="1191" spans="1:12" x14ac:dyDescent="0.3">
      <c r="A1191" s="57" t="s">
        <v>1454</v>
      </c>
      <c r="B1191" s="57" t="s">
        <v>273</v>
      </c>
      <c r="C1191" s="57" t="s">
        <v>237</v>
      </c>
      <c r="D1191" s="57" t="s">
        <v>141</v>
      </c>
      <c r="E1191" s="57" t="s">
        <v>142</v>
      </c>
      <c r="F1191">
        <v>1</v>
      </c>
      <c r="G1191">
        <v>7000</v>
      </c>
      <c r="H1191" s="11">
        <v>45086</v>
      </c>
      <c r="I1191" s="57" t="s">
        <v>100</v>
      </c>
      <c r="J1191" s="57" t="s">
        <v>147</v>
      </c>
      <c r="K1191" s="57" t="s">
        <v>249</v>
      </c>
      <c r="L1191" t="s">
        <v>243</v>
      </c>
    </row>
    <row r="1192" spans="1:12" x14ac:dyDescent="0.3">
      <c r="A1192" s="57" t="s">
        <v>1455</v>
      </c>
      <c r="B1192" s="57" t="s">
        <v>273</v>
      </c>
      <c r="C1192" s="57" t="s">
        <v>237</v>
      </c>
      <c r="D1192" s="57" t="s">
        <v>238</v>
      </c>
      <c r="E1192" s="57" t="s">
        <v>149</v>
      </c>
      <c r="F1192">
        <v>10</v>
      </c>
      <c r="G1192">
        <v>7000</v>
      </c>
      <c r="H1192" s="11">
        <v>45552</v>
      </c>
      <c r="I1192" s="57" t="s">
        <v>242</v>
      </c>
      <c r="J1192" s="57" t="s">
        <v>147</v>
      </c>
      <c r="K1192" s="57" t="s">
        <v>249</v>
      </c>
      <c r="L1192" t="s">
        <v>243</v>
      </c>
    </row>
    <row r="1193" spans="1:12" x14ac:dyDescent="0.3">
      <c r="A1193" s="57" t="s">
        <v>1456</v>
      </c>
      <c r="B1193" s="57" t="s">
        <v>255</v>
      </c>
      <c r="C1193" s="57" t="s">
        <v>237</v>
      </c>
      <c r="D1193" s="57" t="s">
        <v>153</v>
      </c>
      <c r="E1193" s="57" t="s">
        <v>260</v>
      </c>
      <c r="F1193">
        <v>0</v>
      </c>
      <c r="G1193">
        <v>4284</v>
      </c>
      <c r="H1193" s="11">
        <v>45425</v>
      </c>
      <c r="I1193" s="57" t="s">
        <v>257</v>
      </c>
      <c r="J1193" s="57" t="s">
        <v>145</v>
      </c>
      <c r="K1193" s="57" t="s">
        <v>253</v>
      </c>
      <c r="L1193" t="s">
        <v>240</v>
      </c>
    </row>
    <row r="1194" spans="1:12" x14ac:dyDescent="0.3">
      <c r="A1194" s="57" t="s">
        <v>1457</v>
      </c>
      <c r="B1194" s="57" t="s">
        <v>273</v>
      </c>
      <c r="C1194" s="57" t="s">
        <v>237</v>
      </c>
      <c r="D1194" s="57" t="s">
        <v>238</v>
      </c>
      <c r="E1194" s="57" t="s">
        <v>252</v>
      </c>
      <c r="F1194">
        <v>10</v>
      </c>
      <c r="G1194">
        <v>5900</v>
      </c>
      <c r="H1194" s="11">
        <v>45104</v>
      </c>
      <c r="I1194" s="57" t="s">
        <v>257</v>
      </c>
      <c r="J1194" s="57" t="s">
        <v>147</v>
      </c>
      <c r="K1194" s="57" t="s">
        <v>253</v>
      </c>
      <c r="L1194" t="s">
        <v>240</v>
      </c>
    </row>
    <row r="1195" spans="1:12" x14ac:dyDescent="0.3">
      <c r="A1195" s="57" t="s">
        <v>1458</v>
      </c>
      <c r="B1195" s="57" t="s">
        <v>273</v>
      </c>
      <c r="C1195" s="57" t="s">
        <v>237</v>
      </c>
      <c r="D1195" s="57" t="s">
        <v>144</v>
      </c>
      <c r="E1195" s="57" t="s">
        <v>256</v>
      </c>
      <c r="F1195">
        <v>9</v>
      </c>
      <c r="G1195">
        <v>7000</v>
      </c>
      <c r="H1195" s="11">
        <v>45533</v>
      </c>
      <c r="I1195" s="57" t="s">
        <v>89</v>
      </c>
      <c r="J1195" s="57" t="s">
        <v>143</v>
      </c>
      <c r="K1195" s="57" t="s">
        <v>238</v>
      </c>
      <c r="L1195" t="s">
        <v>243</v>
      </c>
    </row>
    <row r="1196" spans="1:12" x14ac:dyDescent="0.3">
      <c r="A1196" s="57" t="s">
        <v>1459</v>
      </c>
      <c r="B1196" s="57" t="s">
        <v>268</v>
      </c>
      <c r="C1196" s="57" t="s">
        <v>269</v>
      </c>
      <c r="D1196" s="57" t="s">
        <v>152</v>
      </c>
      <c r="E1196" s="57" t="s">
        <v>142</v>
      </c>
      <c r="F1196">
        <v>5</v>
      </c>
      <c r="G1196">
        <v>7000</v>
      </c>
      <c r="H1196" s="11">
        <v>45230</v>
      </c>
      <c r="I1196" s="57" t="s">
        <v>266</v>
      </c>
      <c r="J1196" s="57" t="s">
        <v>248</v>
      </c>
      <c r="K1196" s="57" t="s">
        <v>197</v>
      </c>
      <c r="L1196" t="s">
        <v>243</v>
      </c>
    </row>
    <row r="1197" spans="1:12" x14ac:dyDescent="0.3">
      <c r="A1197" s="57" t="s">
        <v>1460</v>
      </c>
      <c r="B1197" s="57" t="s">
        <v>236</v>
      </c>
      <c r="C1197" s="57" t="s">
        <v>237</v>
      </c>
      <c r="D1197" s="57" t="s">
        <v>148</v>
      </c>
      <c r="E1197" s="57" t="s">
        <v>252</v>
      </c>
      <c r="F1197">
        <v>10</v>
      </c>
      <c r="G1197">
        <v>7000</v>
      </c>
      <c r="H1197" s="11">
        <v>45448</v>
      </c>
      <c r="I1197" s="57" t="s">
        <v>257</v>
      </c>
      <c r="J1197" s="57" t="s">
        <v>145</v>
      </c>
      <c r="K1197" s="57" t="s">
        <v>264</v>
      </c>
      <c r="L1197" t="s">
        <v>243</v>
      </c>
    </row>
    <row r="1198" spans="1:12" x14ac:dyDescent="0.3">
      <c r="A1198" s="57" t="s">
        <v>1461</v>
      </c>
      <c r="B1198" s="57" t="s">
        <v>275</v>
      </c>
      <c r="C1198" s="57" t="s">
        <v>276</v>
      </c>
      <c r="D1198" s="57" t="s">
        <v>152</v>
      </c>
      <c r="E1198" s="57" t="s">
        <v>260</v>
      </c>
      <c r="F1198">
        <v>5</v>
      </c>
      <c r="G1198">
        <v>7000</v>
      </c>
      <c r="H1198" s="11">
        <v>45389</v>
      </c>
      <c r="I1198" s="57" t="s">
        <v>242</v>
      </c>
      <c r="J1198" s="57" t="s">
        <v>147</v>
      </c>
      <c r="K1198" s="57" t="s">
        <v>264</v>
      </c>
      <c r="L1198" t="s">
        <v>243</v>
      </c>
    </row>
    <row r="1199" spans="1:12" x14ac:dyDescent="0.3">
      <c r="A1199" s="57" t="s">
        <v>1462</v>
      </c>
      <c r="B1199" s="57" t="s">
        <v>275</v>
      </c>
      <c r="C1199" s="57" t="s">
        <v>276</v>
      </c>
      <c r="D1199" s="57" t="s">
        <v>152</v>
      </c>
      <c r="E1199" s="57" t="s">
        <v>142</v>
      </c>
      <c r="F1199">
        <v>7</v>
      </c>
      <c r="G1199">
        <v>7000</v>
      </c>
      <c r="H1199" s="11">
        <v>45001</v>
      </c>
      <c r="I1199" s="57" t="s">
        <v>242</v>
      </c>
      <c r="J1199" s="57" t="s">
        <v>150</v>
      </c>
      <c r="K1199" s="57" t="s">
        <v>197</v>
      </c>
      <c r="L1199" t="s">
        <v>243</v>
      </c>
    </row>
    <row r="1200" spans="1:12" x14ac:dyDescent="0.3">
      <c r="A1200" s="57" t="s">
        <v>1463</v>
      </c>
      <c r="B1200" s="57" t="s">
        <v>268</v>
      </c>
      <c r="C1200" s="57" t="s">
        <v>269</v>
      </c>
      <c r="D1200" s="57" t="s">
        <v>152</v>
      </c>
      <c r="E1200" s="57" t="s">
        <v>149</v>
      </c>
      <c r="F1200">
        <v>10</v>
      </c>
      <c r="G1200">
        <v>5900</v>
      </c>
      <c r="H1200" s="11">
        <v>45162</v>
      </c>
      <c r="I1200" s="57" t="s">
        <v>89</v>
      </c>
      <c r="J1200" s="57" t="s">
        <v>143</v>
      </c>
      <c r="K1200" s="57" t="s">
        <v>239</v>
      </c>
      <c r="L1200" t="s">
        <v>240</v>
      </c>
    </row>
    <row r="1201" spans="1:12" x14ac:dyDescent="0.3">
      <c r="A1201" s="57" t="s">
        <v>1464</v>
      </c>
      <c r="B1201" s="57" t="s">
        <v>236</v>
      </c>
      <c r="C1201" s="57" t="s">
        <v>237</v>
      </c>
      <c r="D1201" s="57" t="s">
        <v>153</v>
      </c>
      <c r="E1201" s="57" t="s">
        <v>149</v>
      </c>
      <c r="F1201">
        <v>0</v>
      </c>
      <c r="G1201">
        <v>5900</v>
      </c>
      <c r="H1201" s="11">
        <v>45012</v>
      </c>
      <c r="I1201" s="57" t="s">
        <v>266</v>
      </c>
      <c r="J1201" s="57" t="s">
        <v>143</v>
      </c>
      <c r="K1201" s="57" t="s">
        <v>264</v>
      </c>
      <c r="L1201" t="s">
        <v>240</v>
      </c>
    </row>
    <row r="1202" spans="1:12" x14ac:dyDescent="0.3">
      <c r="A1202" s="57" t="s">
        <v>1465</v>
      </c>
      <c r="B1202" s="57" t="s">
        <v>275</v>
      </c>
      <c r="C1202" s="57" t="s">
        <v>276</v>
      </c>
      <c r="D1202" s="57" t="s">
        <v>238</v>
      </c>
      <c r="E1202" s="57" t="s">
        <v>256</v>
      </c>
      <c r="F1202">
        <v>7</v>
      </c>
      <c r="G1202">
        <v>4960</v>
      </c>
      <c r="H1202" s="11">
        <v>45177</v>
      </c>
      <c r="I1202" s="57" t="s">
        <v>257</v>
      </c>
      <c r="J1202" s="57" t="s">
        <v>150</v>
      </c>
      <c r="K1202" s="57" t="s">
        <v>249</v>
      </c>
      <c r="L1202" t="s">
        <v>240</v>
      </c>
    </row>
    <row r="1203" spans="1:12" x14ac:dyDescent="0.3">
      <c r="A1203" s="57" t="s">
        <v>1466</v>
      </c>
      <c r="B1203" s="57" t="s">
        <v>262</v>
      </c>
      <c r="C1203" s="57" t="s">
        <v>263</v>
      </c>
      <c r="D1203" s="57" t="s">
        <v>238</v>
      </c>
      <c r="E1203" s="57" t="s">
        <v>260</v>
      </c>
      <c r="F1203">
        <v>10</v>
      </c>
      <c r="G1203">
        <v>5900</v>
      </c>
      <c r="H1203" s="11">
        <v>45557</v>
      </c>
      <c r="I1203" s="57" t="s">
        <v>100</v>
      </c>
      <c r="J1203" s="57" t="s">
        <v>147</v>
      </c>
      <c r="K1203" s="57" t="s">
        <v>239</v>
      </c>
      <c r="L1203" t="s">
        <v>240</v>
      </c>
    </row>
    <row r="1204" spans="1:12" x14ac:dyDescent="0.3">
      <c r="A1204" s="57" t="s">
        <v>1467</v>
      </c>
      <c r="B1204" s="57" t="s">
        <v>247</v>
      </c>
      <c r="C1204" s="57" t="s">
        <v>237</v>
      </c>
      <c r="D1204" s="57" t="s">
        <v>148</v>
      </c>
      <c r="E1204" s="57" t="s">
        <v>256</v>
      </c>
      <c r="F1204">
        <v>0</v>
      </c>
      <c r="G1204">
        <v>2252</v>
      </c>
      <c r="H1204" s="11">
        <v>45266</v>
      </c>
      <c r="I1204" s="57" t="s">
        <v>100</v>
      </c>
      <c r="J1204" s="57" t="s">
        <v>150</v>
      </c>
      <c r="K1204" s="57" t="s">
        <v>239</v>
      </c>
      <c r="L1204" t="s">
        <v>258</v>
      </c>
    </row>
    <row r="1205" spans="1:12" x14ac:dyDescent="0.3">
      <c r="A1205" s="57" t="s">
        <v>1468</v>
      </c>
      <c r="B1205" s="57" t="s">
        <v>247</v>
      </c>
      <c r="C1205" s="57" t="s">
        <v>237</v>
      </c>
      <c r="D1205" s="57" t="s">
        <v>146</v>
      </c>
      <c r="E1205" s="57" t="s">
        <v>149</v>
      </c>
      <c r="F1205">
        <v>10</v>
      </c>
      <c r="G1205">
        <v>7000</v>
      </c>
      <c r="H1205" s="11">
        <v>45036</v>
      </c>
      <c r="I1205" s="57" t="s">
        <v>291</v>
      </c>
      <c r="J1205" s="57" t="s">
        <v>143</v>
      </c>
      <c r="K1205" s="57" t="s">
        <v>249</v>
      </c>
      <c r="L1205" t="s">
        <v>243</v>
      </c>
    </row>
    <row r="1206" spans="1:12" x14ac:dyDescent="0.3">
      <c r="A1206" s="57" t="s">
        <v>1469</v>
      </c>
      <c r="B1206" s="57" t="s">
        <v>251</v>
      </c>
      <c r="C1206" s="57" t="s">
        <v>237</v>
      </c>
      <c r="D1206" s="57" t="s">
        <v>152</v>
      </c>
      <c r="E1206" s="57" t="s">
        <v>260</v>
      </c>
      <c r="F1206">
        <v>5</v>
      </c>
      <c r="G1206">
        <v>4498</v>
      </c>
      <c r="H1206" s="11">
        <v>45190</v>
      </c>
      <c r="I1206" s="57" t="s">
        <v>242</v>
      </c>
      <c r="J1206" s="57" t="s">
        <v>145</v>
      </c>
      <c r="K1206" s="57" t="s">
        <v>264</v>
      </c>
      <c r="L1206" t="s">
        <v>240</v>
      </c>
    </row>
    <row r="1207" spans="1:12" x14ac:dyDescent="0.3">
      <c r="A1207" s="57" t="s">
        <v>1470</v>
      </c>
      <c r="B1207" s="57" t="s">
        <v>245</v>
      </c>
      <c r="C1207" s="57" t="s">
        <v>237</v>
      </c>
      <c r="D1207" s="57" t="s">
        <v>152</v>
      </c>
      <c r="E1207" s="57" t="s">
        <v>260</v>
      </c>
      <c r="F1207">
        <v>7</v>
      </c>
      <c r="G1207">
        <v>7000</v>
      </c>
      <c r="H1207" s="11">
        <v>45246</v>
      </c>
      <c r="I1207" s="57" t="s">
        <v>95</v>
      </c>
      <c r="J1207" s="57" t="s">
        <v>248</v>
      </c>
      <c r="K1207" s="57" t="s">
        <v>197</v>
      </c>
      <c r="L1207" t="s">
        <v>243</v>
      </c>
    </row>
    <row r="1208" spans="1:12" x14ac:dyDescent="0.3">
      <c r="A1208" s="57" t="s">
        <v>1471</v>
      </c>
      <c r="B1208" s="57" t="s">
        <v>268</v>
      </c>
      <c r="C1208" s="57" t="s">
        <v>269</v>
      </c>
      <c r="D1208" s="57" t="s">
        <v>141</v>
      </c>
      <c r="E1208" s="57" t="s">
        <v>252</v>
      </c>
      <c r="F1208">
        <v>0</v>
      </c>
      <c r="G1208">
        <v>464</v>
      </c>
      <c r="H1208" s="11">
        <v>45611</v>
      </c>
      <c r="I1208" s="57" t="s">
        <v>92</v>
      </c>
      <c r="J1208" s="57" t="s">
        <v>143</v>
      </c>
      <c r="K1208" s="57" t="s">
        <v>239</v>
      </c>
      <c r="L1208" t="s">
        <v>302</v>
      </c>
    </row>
    <row r="1209" spans="1:12" x14ac:dyDescent="0.3">
      <c r="A1209" s="57" t="s">
        <v>1472</v>
      </c>
      <c r="B1209" s="57" t="s">
        <v>268</v>
      </c>
      <c r="C1209" s="57" t="s">
        <v>269</v>
      </c>
      <c r="D1209" s="57" t="s">
        <v>148</v>
      </c>
      <c r="E1209" s="57" t="s">
        <v>256</v>
      </c>
      <c r="F1209">
        <v>5</v>
      </c>
      <c r="G1209">
        <v>7000</v>
      </c>
      <c r="H1209" s="11">
        <v>44989</v>
      </c>
      <c r="I1209" s="57" t="s">
        <v>92</v>
      </c>
      <c r="J1209" s="57" t="s">
        <v>147</v>
      </c>
      <c r="K1209" s="57" t="s">
        <v>249</v>
      </c>
      <c r="L1209" t="s">
        <v>243</v>
      </c>
    </row>
    <row r="1210" spans="1:12" x14ac:dyDescent="0.3">
      <c r="A1210" s="57" t="s">
        <v>1473</v>
      </c>
      <c r="B1210" s="57" t="s">
        <v>262</v>
      </c>
      <c r="C1210" s="57" t="s">
        <v>263</v>
      </c>
      <c r="D1210" s="57" t="s">
        <v>152</v>
      </c>
      <c r="E1210" s="57" t="s">
        <v>149</v>
      </c>
      <c r="F1210">
        <v>10</v>
      </c>
      <c r="G1210">
        <v>3083</v>
      </c>
      <c r="H1210" s="11">
        <v>44977</v>
      </c>
      <c r="I1210" s="57" t="s">
        <v>100</v>
      </c>
      <c r="J1210" s="57" t="s">
        <v>145</v>
      </c>
      <c r="K1210" s="57" t="s">
        <v>197</v>
      </c>
      <c r="L1210" t="s">
        <v>258</v>
      </c>
    </row>
    <row r="1211" spans="1:12" x14ac:dyDescent="0.3">
      <c r="A1211" s="57" t="s">
        <v>1474</v>
      </c>
      <c r="B1211" s="57" t="s">
        <v>236</v>
      </c>
      <c r="C1211" s="57" t="s">
        <v>237</v>
      </c>
      <c r="D1211" s="57" t="s">
        <v>141</v>
      </c>
      <c r="E1211" s="57" t="s">
        <v>256</v>
      </c>
      <c r="F1211">
        <v>0</v>
      </c>
      <c r="G1211">
        <v>5900</v>
      </c>
      <c r="H1211" s="11">
        <v>45308</v>
      </c>
      <c r="I1211" s="57" t="s">
        <v>242</v>
      </c>
      <c r="J1211" s="57" t="s">
        <v>145</v>
      </c>
      <c r="K1211" s="57" t="s">
        <v>239</v>
      </c>
      <c r="L1211" t="s">
        <v>240</v>
      </c>
    </row>
    <row r="1212" spans="1:12" x14ac:dyDescent="0.3">
      <c r="A1212" s="57" t="s">
        <v>1475</v>
      </c>
      <c r="B1212" s="57" t="s">
        <v>247</v>
      </c>
      <c r="C1212" s="57" t="s">
        <v>237</v>
      </c>
      <c r="D1212" s="57" t="s">
        <v>146</v>
      </c>
      <c r="E1212" s="57" t="s">
        <v>252</v>
      </c>
      <c r="F1212">
        <v>10</v>
      </c>
      <c r="G1212">
        <v>2405</v>
      </c>
      <c r="H1212" s="11">
        <v>45621</v>
      </c>
      <c r="I1212" s="57" t="s">
        <v>89</v>
      </c>
      <c r="J1212" s="57" t="s">
        <v>147</v>
      </c>
      <c r="K1212" s="57" t="s">
        <v>239</v>
      </c>
      <c r="L1212" t="s">
        <v>258</v>
      </c>
    </row>
    <row r="1213" spans="1:12" x14ac:dyDescent="0.3">
      <c r="A1213" s="57" t="s">
        <v>1476</v>
      </c>
      <c r="B1213" s="57" t="s">
        <v>275</v>
      </c>
      <c r="C1213" s="57" t="s">
        <v>276</v>
      </c>
      <c r="D1213" s="57" t="s">
        <v>141</v>
      </c>
      <c r="E1213" s="57" t="s">
        <v>260</v>
      </c>
      <c r="F1213">
        <v>10</v>
      </c>
      <c r="G1213">
        <v>7000</v>
      </c>
      <c r="H1213" s="11">
        <v>45090</v>
      </c>
      <c r="I1213" s="57" t="s">
        <v>92</v>
      </c>
      <c r="J1213" s="57" t="s">
        <v>147</v>
      </c>
      <c r="K1213" s="57" t="s">
        <v>238</v>
      </c>
      <c r="L1213" t="s">
        <v>243</v>
      </c>
    </row>
    <row r="1214" spans="1:12" x14ac:dyDescent="0.3">
      <c r="A1214" s="57" t="s">
        <v>1477</v>
      </c>
      <c r="B1214" s="57" t="s">
        <v>251</v>
      </c>
      <c r="C1214" s="57" t="s">
        <v>237</v>
      </c>
      <c r="D1214" s="57" t="s">
        <v>148</v>
      </c>
      <c r="E1214" s="57" t="s">
        <v>256</v>
      </c>
      <c r="F1214">
        <v>5</v>
      </c>
      <c r="G1214">
        <v>7000</v>
      </c>
      <c r="H1214" s="11">
        <v>45197</v>
      </c>
      <c r="I1214" s="57" t="s">
        <v>95</v>
      </c>
      <c r="J1214" s="57" t="s">
        <v>150</v>
      </c>
      <c r="K1214" s="57" t="s">
        <v>253</v>
      </c>
      <c r="L1214" t="s">
        <v>243</v>
      </c>
    </row>
    <row r="1215" spans="1:12" x14ac:dyDescent="0.3">
      <c r="A1215" s="57" t="s">
        <v>1478</v>
      </c>
      <c r="B1215" s="57" t="s">
        <v>251</v>
      </c>
      <c r="C1215" s="57" t="s">
        <v>237</v>
      </c>
      <c r="D1215" s="57" t="s">
        <v>238</v>
      </c>
      <c r="E1215" s="57" t="s">
        <v>142</v>
      </c>
      <c r="F1215">
        <v>4</v>
      </c>
      <c r="G1215">
        <v>5900</v>
      </c>
      <c r="H1215" s="11">
        <v>45015</v>
      </c>
      <c r="I1215" s="57" t="s">
        <v>95</v>
      </c>
      <c r="J1215" s="57" t="s">
        <v>150</v>
      </c>
      <c r="K1215" s="57" t="s">
        <v>264</v>
      </c>
      <c r="L1215" t="s">
        <v>240</v>
      </c>
    </row>
    <row r="1216" spans="1:12" x14ac:dyDescent="0.3">
      <c r="A1216" s="57" t="s">
        <v>1479</v>
      </c>
      <c r="B1216" s="57" t="s">
        <v>245</v>
      </c>
      <c r="C1216" s="57" t="s">
        <v>237</v>
      </c>
      <c r="D1216" s="57" t="s">
        <v>146</v>
      </c>
      <c r="E1216" s="57" t="s">
        <v>260</v>
      </c>
      <c r="F1216">
        <v>10</v>
      </c>
      <c r="G1216">
        <v>7000</v>
      </c>
      <c r="H1216" s="11">
        <v>45088</v>
      </c>
      <c r="I1216" s="57" t="s">
        <v>257</v>
      </c>
      <c r="J1216" s="57" t="s">
        <v>147</v>
      </c>
      <c r="K1216" s="57" t="s">
        <v>264</v>
      </c>
      <c r="L1216" t="s">
        <v>243</v>
      </c>
    </row>
    <row r="1217" spans="1:12" x14ac:dyDescent="0.3">
      <c r="A1217" s="57" t="s">
        <v>1480</v>
      </c>
      <c r="B1217" s="57" t="s">
        <v>245</v>
      </c>
      <c r="C1217" s="57" t="s">
        <v>237</v>
      </c>
      <c r="D1217" s="57" t="s">
        <v>151</v>
      </c>
      <c r="E1217" s="57" t="s">
        <v>149</v>
      </c>
      <c r="F1217">
        <v>0</v>
      </c>
      <c r="G1217">
        <v>7000</v>
      </c>
      <c r="H1217" s="11">
        <v>45326</v>
      </c>
      <c r="I1217" s="57" t="s">
        <v>100</v>
      </c>
      <c r="J1217" s="57" t="s">
        <v>143</v>
      </c>
      <c r="K1217" s="57" t="s">
        <v>197</v>
      </c>
      <c r="L1217" t="s">
        <v>243</v>
      </c>
    </row>
    <row r="1218" spans="1:12" x14ac:dyDescent="0.3">
      <c r="A1218" s="57" t="s">
        <v>1481</v>
      </c>
      <c r="B1218" s="57" t="s">
        <v>268</v>
      </c>
      <c r="C1218" s="57" t="s">
        <v>269</v>
      </c>
      <c r="D1218" s="57" t="s">
        <v>238</v>
      </c>
      <c r="E1218" s="57" t="s">
        <v>256</v>
      </c>
      <c r="F1218">
        <v>5</v>
      </c>
      <c r="G1218">
        <v>5900</v>
      </c>
      <c r="H1218" s="11">
        <v>45549</v>
      </c>
      <c r="I1218" s="57" t="s">
        <v>242</v>
      </c>
      <c r="J1218" s="57" t="s">
        <v>147</v>
      </c>
      <c r="K1218" s="57" t="s">
        <v>239</v>
      </c>
      <c r="L1218" t="s">
        <v>240</v>
      </c>
    </row>
    <row r="1219" spans="1:12" x14ac:dyDescent="0.3">
      <c r="A1219" s="57" t="s">
        <v>1482</v>
      </c>
      <c r="B1219" s="57" t="s">
        <v>255</v>
      </c>
      <c r="C1219" s="57" t="s">
        <v>237</v>
      </c>
      <c r="D1219" s="57" t="s">
        <v>152</v>
      </c>
      <c r="E1219" s="57" t="s">
        <v>142</v>
      </c>
      <c r="F1219">
        <v>2</v>
      </c>
      <c r="G1219">
        <v>7000</v>
      </c>
      <c r="H1219" s="11">
        <v>45542</v>
      </c>
      <c r="I1219" s="57" t="s">
        <v>100</v>
      </c>
      <c r="J1219" s="57" t="s">
        <v>143</v>
      </c>
      <c r="K1219" s="57" t="s">
        <v>238</v>
      </c>
      <c r="L1219" t="s">
        <v>243</v>
      </c>
    </row>
    <row r="1220" spans="1:12" x14ac:dyDescent="0.3">
      <c r="A1220" s="57" t="s">
        <v>1483</v>
      </c>
      <c r="B1220" s="57" t="s">
        <v>262</v>
      </c>
      <c r="C1220" s="57" t="s">
        <v>263</v>
      </c>
      <c r="D1220" s="57" t="s">
        <v>146</v>
      </c>
      <c r="E1220" s="57" t="s">
        <v>252</v>
      </c>
      <c r="F1220">
        <v>0</v>
      </c>
      <c r="G1220">
        <v>5900</v>
      </c>
      <c r="H1220" s="11">
        <v>45068</v>
      </c>
      <c r="I1220" s="57" t="s">
        <v>291</v>
      </c>
      <c r="J1220" s="57" t="s">
        <v>150</v>
      </c>
      <c r="K1220" s="57" t="s">
        <v>239</v>
      </c>
      <c r="L1220" t="s">
        <v>240</v>
      </c>
    </row>
    <row r="1221" spans="1:12" x14ac:dyDescent="0.3">
      <c r="A1221" s="57" t="s">
        <v>1484</v>
      </c>
      <c r="B1221" s="57" t="s">
        <v>251</v>
      </c>
      <c r="C1221" s="57" t="s">
        <v>237</v>
      </c>
      <c r="D1221" s="57" t="s">
        <v>146</v>
      </c>
      <c r="E1221" s="57" t="s">
        <v>252</v>
      </c>
      <c r="F1221">
        <v>10</v>
      </c>
      <c r="G1221">
        <v>5900</v>
      </c>
      <c r="H1221" s="11">
        <v>45219</v>
      </c>
      <c r="I1221" s="57" t="s">
        <v>266</v>
      </c>
      <c r="J1221" s="57" t="s">
        <v>143</v>
      </c>
      <c r="K1221" s="57" t="s">
        <v>238</v>
      </c>
      <c r="L1221" t="s">
        <v>240</v>
      </c>
    </row>
    <row r="1222" spans="1:12" x14ac:dyDescent="0.3">
      <c r="A1222" s="57" t="s">
        <v>1485</v>
      </c>
      <c r="B1222" s="57" t="s">
        <v>245</v>
      </c>
      <c r="C1222" s="57" t="s">
        <v>237</v>
      </c>
      <c r="D1222" s="57" t="s">
        <v>152</v>
      </c>
      <c r="E1222" s="57" t="s">
        <v>260</v>
      </c>
      <c r="F1222">
        <v>7</v>
      </c>
      <c r="G1222">
        <v>943</v>
      </c>
      <c r="H1222" s="11">
        <v>45047</v>
      </c>
      <c r="I1222" s="57" t="s">
        <v>242</v>
      </c>
      <c r="J1222" s="57" t="s">
        <v>248</v>
      </c>
      <c r="K1222" s="57" t="s">
        <v>238</v>
      </c>
      <c r="L1222" t="s">
        <v>302</v>
      </c>
    </row>
    <row r="1223" spans="1:12" x14ac:dyDescent="0.3">
      <c r="A1223" s="57" t="s">
        <v>1486</v>
      </c>
      <c r="B1223" s="57" t="s">
        <v>275</v>
      </c>
      <c r="C1223" s="57" t="s">
        <v>276</v>
      </c>
      <c r="D1223" s="57" t="s">
        <v>148</v>
      </c>
      <c r="E1223" s="57" t="s">
        <v>260</v>
      </c>
      <c r="F1223">
        <v>7</v>
      </c>
      <c r="G1223">
        <v>5900</v>
      </c>
      <c r="H1223" s="11">
        <v>44942</v>
      </c>
      <c r="I1223" s="57" t="s">
        <v>266</v>
      </c>
      <c r="J1223" s="57" t="s">
        <v>150</v>
      </c>
      <c r="K1223" s="57" t="s">
        <v>197</v>
      </c>
      <c r="L1223" t="s">
        <v>240</v>
      </c>
    </row>
    <row r="1224" spans="1:12" x14ac:dyDescent="0.3">
      <c r="A1224" s="57" t="s">
        <v>1487</v>
      </c>
      <c r="B1224" s="57" t="s">
        <v>245</v>
      </c>
      <c r="C1224" s="57" t="s">
        <v>237</v>
      </c>
      <c r="D1224" s="57" t="s">
        <v>141</v>
      </c>
      <c r="E1224" s="57" t="s">
        <v>149</v>
      </c>
      <c r="F1224">
        <v>1</v>
      </c>
      <c r="G1224">
        <v>498</v>
      </c>
      <c r="H1224" s="11">
        <v>45557</v>
      </c>
      <c r="I1224" s="57" t="s">
        <v>257</v>
      </c>
      <c r="J1224" s="57" t="s">
        <v>145</v>
      </c>
      <c r="K1224" s="57" t="s">
        <v>249</v>
      </c>
      <c r="L1224" t="s">
        <v>302</v>
      </c>
    </row>
    <row r="1225" spans="1:12" x14ac:dyDescent="0.3">
      <c r="A1225" s="57" t="s">
        <v>1488</v>
      </c>
      <c r="B1225" s="57" t="s">
        <v>262</v>
      </c>
      <c r="C1225" s="57" t="s">
        <v>263</v>
      </c>
      <c r="D1225" s="57" t="s">
        <v>238</v>
      </c>
      <c r="E1225" s="57" t="s">
        <v>149</v>
      </c>
      <c r="F1225">
        <v>5</v>
      </c>
      <c r="G1225">
        <v>491</v>
      </c>
      <c r="H1225" s="11">
        <v>45462</v>
      </c>
      <c r="I1225" s="57" t="s">
        <v>95</v>
      </c>
      <c r="J1225" s="57" t="s">
        <v>248</v>
      </c>
      <c r="K1225" s="57" t="s">
        <v>197</v>
      </c>
      <c r="L1225" t="s">
        <v>302</v>
      </c>
    </row>
    <row r="1226" spans="1:12" x14ac:dyDescent="0.3">
      <c r="A1226" s="57" t="s">
        <v>1489</v>
      </c>
      <c r="B1226" s="57" t="s">
        <v>273</v>
      </c>
      <c r="C1226" s="57" t="s">
        <v>237</v>
      </c>
      <c r="D1226" s="57" t="s">
        <v>144</v>
      </c>
      <c r="E1226" s="57" t="s">
        <v>142</v>
      </c>
      <c r="F1226">
        <v>4</v>
      </c>
      <c r="G1226">
        <v>5900</v>
      </c>
      <c r="H1226" s="11">
        <v>44956</v>
      </c>
      <c r="I1226" s="57" t="s">
        <v>291</v>
      </c>
      <c r="J1226" s="57" t="s">
        <v>150</v>
      </c>
      <c r="K1226" s="57" t="s">
        <v>249</v>
      </c>
      <c r="L1226" t="s">
        <v>240</v>
      </c>
    </row>
    <row r="1227" spans="1:12" x14ac:dyDescent="0.3">
      <c r="A1227" s="57" t="s">
        <v>1490</v>
      </c>
      <c r="B1227" s="57" t="s">
        <v>247</v>
      </c>
      <c r="C1227" s="57" t="s">
        <v>237</v>
      </c>
      <c r="D1227" s="57" t="s">
        <v>238</v>
      </c>
      <c r="E1227" s="57" t="s">
        <v>252</v>
      </c>
      <c r="F1227">
        <v>6</v>
      </c>
      <c r="G1227">
        <v>5900</v>
      </c>
      <c r="H1227" s="11">
        <v>45433</v>
      </c>
      <c r="I1227" s="57" t="s">
        <v>257</v>
      </c>
      <c r="J1227" s="57" t="s">
        <v>147</v>
      </c>
      <c r="K1227" s="57" t="s">
        <v>264</v>
      </c>
      <c r="L1227" t="s">
        <v>240</v>
      </c>
    </row>
    <row r="1228" spans="1:12" x14ac:dyDescent="0.3">
      <c r="A1228" s="57" t="s">
        <v>1491</v>
      </c>
      <c r="B1228" s="57" t="s">
        <v>251</v>
      </c>
      <c r="C1228" s="57" t="s">
        <v>237</v>
      </c>
      <c r="D1228" s="57" t="s">
        <v>151</v>
      </c>
      <c r="E1228" s="57" t="s">
        <v>256</v>
      </c>
      <c r="F1228">
        <v>10</v>
      </c>
      <c r="G1228">
        <v>5900</v>
      </c>
      <c r="H1228" s="11">
        <v>45616</v>
      </c>
      <c r="I1228" s="57" t="s">
        <v>92</v>
      </c>
      <c r="J1228" s="57" t="s">
        <v>145</v>
      </c>
      <c r="K1228" s="57" t="s">
        <v>239</v>
      </c>
      <c r="L1228" t="s">
        <v>240</v>
      </c>
    </row>
    <row r="1229" spans="1:12" x14ac:dyDescent="0.3">
      <c r="A1229" s="57" t="s">
        <v>1492</v>
      </c>
      <c r="B1229" s="57" t="s">
        <v>195</v>
      </c>
      <c r="C1229" s="57" t="s">
        <v>196</v>
      </c>
      <c r="D1229" s="57" t="s">
        <v>153</v>
      </c>
      <c r="E1229" s="57" t="s">
        <v>252</v>
      </c>
      <c r="F1229">
        <v>7</v>
      </c>
      <c r="G1229">
        <v>7000</v>
      </c>
      <c r="H1229" s="11">
        <v>45315</v>
      </c>
      <c r="I1229" s="57" t="s">
        <v>89</v>
      </c>
      <c r="J1229" s="57" t="s">
        <v>147</v>
      </c>
      <c r="K1229" s="57" t="s">
        <v>197</v>
      </c>
      <c r="L1229" t="s">
        <v>243</v>
      </c>
    </row>
    <row r="1230" spans="1:12" x14ac:dyDescent="0.3">
      <c r="A1230" s="57" t="s">
        <v>1493</v>
      </c>
      <c r="B1230" s="57" t="s">
        <v>268</v>
      </c>
      <c r="C1230" s="57" t="s">
        <v>269</v>
      </c>
      <c r="D1230" s="57" t="s">
        <v>141</v>
      </c>
      <c r="E1230" s="57" t="s">
        <v>252</v>
      </c>
      <c r="F1230">
        <v>10</v>
      </c>
      <c r="G1230">
        <v>7000</v>
      </c>
      <c r="H1230" s="11">
        <v>45231</v>
      </c>
      <c r="I1230" s="57" t="s">
        <v>291</v>
      </c>
      <c r="J1230" s="57" t="s">
        <v>147</v>
      </c>
      <c r="K1230" s="57" t="s">
        <v>264</v>
      </c>
      <c r="L1230" t="s">
        <v>243</v>
      </c>
    </row>
    <row r="1231" spans="1:12" x14ac:dyDescent="0.3">
      <c r="A1231" s="57" t="s">
        <v>1494</v>
      </c>
      <c r="B1231" s="57" t="s">
        <v>236</v>
      </c>
      <c r="C1231" s="57" t="s">
        <v>237</v>
      </c>
      <c r="D1231" s="57" t="s">
        <v>153</v>
      </c>
      <c r="E1231" s="57" t="s">
        <v>256</v>
      </c>
      <c r="F1231">
        <v>2</v>
      </c>
      <c r="G1231">
        <v>3114</v>
      </c>
      <c r="H1231" s="11">
        <v>45325</v>
      </c>
      <c r="I1231" s="57" t="s">
        <v>89</v>
      </c>
      <c r="J1231" s="57" t="s">
        <v>248</v>
      </c>
      <c r="K1231" s="57" t="s">
        <v>197</v>
      </c>
      <c r="L1231" t="s">
        <v>258</v>
      </c>
    </row>
    <row r="1232" spans="1:12" x14ac:dyDescent="0.3">
      <c r="A1232" s="57" t="s">
        <v>1495</v>
      </c>
      <c r="B1232" s="57" t="s">
        <v>247</v>
      </c>
      <c r="C1232" s="57" t="s">
        <v>237</v>
      </c>
      <c r="D1232" s="57" t="s">
        <v>238</v>
      </c>
      <c r="E1232" s="57" t="s">
        <v>252</v>
      </c>
      <c r="F1232">
        <v>0</v>
      </c>
      <c r="G1232">
        <v>5900</v>
      </c>
      <c r="H1232" s="11">
        <v>45397</v>
      </c>
      <c r="I1232" s="57" t="s">
        <v>100</v>
      </c>
      <c r="J1232" s="57" t="s">
        <v>147</v>
      </c>
      <c r="K1232" s="57" t="s">
        <v>197</v>
      </c>
      <c r="L1232" t="s">
        <v>240</v>
      </c>
    </row>
    <row r="1233" spans="1:12" x14ac:dyDescent="0.3">
      <c r="A1233" s="57" t="s">
        <v>1496</v>
      </c>
      <c r="B1233" s="57" t="s">
        <v>275</v>
      </c>
      <c r="C1233" s="57" t="s">
        <v>276</v>
      </c>
      <c r="D1233" s="57" t="s">
        <v>144</v>
      </c>
      <c r="E1233" s="57" t="s">
        <v>149</v>
      </c>
      <c r="F1233">
        <v>5</v>
      </c>
      <c r="G1233">
        <v>7000</v>
      </c>
      <c r="H1233" s="11">
        <v>44991</v>
      </c>
      <c r="I1233" s="57" t="s">
        <v>92</v>
      </c>
      <c r="J1233" s="57" t="s">
        <v>248</v>
      </c>
      <c r="K1233" s="57" t="s">
        <v>239</v>
      </c>
      <c r="L1233" t="s">
        <v>243</v>
      </c>
    </row>
    <row r="1234" spans="1:12" x14ac:dyDescent="0.3">
      <c r="A1234" s="57" t="s">
        <v>1497</v>
      </c>
      <c r="B1234" s="57" t="s">
        <v>275</v>
      </c>
      <c r="C1234" s="57" t="s">
        <v>276</v>
      </c>
      <c r="D1234" s="57" t="s">
        <v>151</v>
      </c>
      <c r="E1234" s="57" t="s">
        <v>252</v>
      </c>
      <c r="F1234">
        <v>8</v>
      </c>
      <c r="G1234">
        <v>5900</v>
      </c>
      <c r="H1234" s="11">
        <v>45000</v>
      </c>
      <c r="I1234" s="57" t="s">
        <v>92</v>
      </c>
      <c r="J1234" s="57" t="s">
        <v>145</v>
      </c>
      <c r="K1234" s="57" t="s">
        <v>253</v>
      </c>
      <c r="L1234" t="s">
        <v>240</v>
      </c>
    </row>
    <row r="1235" spans="1:12" x14ac:dyDescent="0.3">
      <c r="A1235" s="57" t="s">
        <v>1498</v>
      </c>
      <c r="B1235" s="57" t="s">
        <v>273</v>
      </c>
      <c r="C1235" s="57" t="s">
        <v>237</v>
      </c>
      <c r="D1235" s="57" t="s">
        <v>148</v>
      </c>
      <c r="E1235" s="57" t="s">
        <v>142</v>
      </c>
      <c r="F1235">
        <v>0</v>
      </c>
      <c r="G1235">
        <v>5900</v>
      </c>
      <c r="H1235" s="11">
        <v>45284</v>
      </c>
      <c r="I1235" s="57" t="s">
        <v>89</v>
      </c>
      <c r="J1235" s="57" t="s">
        <v>143</v>
      </c>
      <c r="K1235" s="57" t="s">
        <v>197</v>
      </c>
      <c r="L1235" t="s">
        <v>240</v>
      </c>
    </row>
    <row r="1236" spans="1:12" x14ac:dyDescent="0.3">
      <c r="A1236" s="57" t="s">
        <v>1499</v>
      </c>
      <c r="B1236" s="57" t="s">
        <v>262</v>
      </c>
      <c r="C1236" s="57" t="s">
        <v>263</v>
      </c>
      <c r="D1236" s="57" t="s">
        <v>144</v>
      </c>
      <c r="E1236" s="57" t="s">
        <v>149</v>
      </c>
      <c r="F1236">
        <v>5</v>
      </c>
      <c r="G1236">
        <v>5900</v>
      </c>
      <c r="H1236" s="11">
        <v>45432</v>
      </c>
      <c r="I1236" s="57" t="s">
        <v>257</v>
      </c>
      <c r="J1236" s="57" t="s">
        <v>147</v>
      </c>
      <c r="K1236" s="57" t="s">
        <v>197</v>
      </c>
      <c r="L1236" t="s">
        <v>240</v>
      </c>
    </row>
    <row r="1237" spans="1:12" x14ac:dyDescent="0.3">
      <c r="A1237" s="57" t="s">
        <v>1500</v>
      </c>
      <c r="B1237" s="57" t="s">
        <v>195</v>
      </c>
      <c r="C1237" s="57" t="s">
        <v>196</v>
      </c>
      <c r="D1237" s="57" t="s">
        <v>238</v>
      </c>
      <c r="E1237" s="57" t="s">
        <v>256</v>
      </c>
      <c r="F1237">
        <v>9</v>
      </c>
      <c r="G1237">
        <v>2151</v>
      </c>
      <c r="H1237" s="11">
        <v>45218</v>
      </c>
      <c r="I1237" s="57" t="s">
        <v>92</v>
      </c>
      <c r="J1237" s="57" t="s">
        <v>150</v>
      </c>
      <c r="K1237" s="57" t="s">
        <v>197</v>
      </c>
      <c r="L1237" t="s">
        <v>258</v>
      </c>
    </row>
    <row r="1238" spans="1:12" x14ac:dyDescent="0.3">
      <c r="A1238" s="57" t="s">
        <v>1501</v>
      </c>
      <c r="B1238" s="57" t="s">
        <v>275</v>
      </c>
      <c r="C1238" s="57" t="s">
        <v>276</v>
      </c>
      <c r="D1238" s="57" t="s">
        <v>152</v>
      </c>
      <c r="E1238" s="57" t="s">
        <v>256</v>
      </c>
      <c r="F1238">
        <v>7</v>
      </c>
      <c r="G1238">
        <v>7000</v>
      </c>
      <c r="H1238" s="11">
        <v>45587</v>
      </c>
      <c r="I1238" s="57" t="s">
        <v>100</v>
      </c>
      <c r="J1238" s="57" t="s">
        <v>143</v>
      </c>
      <c r="K1238" s="57" t="s">
        <v>197</v>
      </c>
      <c r="L1238" t="s">
        <v>243</v>
      </c>
    </row>
    <row r="1239" spans="1:12" x14ac:dyDescent="0.3">
      <c r="A1239" s="57" t="s">
        <v>1502</v>
      </c>
      <c r="B1239" s="57" t="s">
        <v>236</v>
      </c>
      <c r="C1239" s="57" t="s">
        <v>237</v>
      </c>
      <c r="D1239" s="57" t="s">
        <v>148</v>
      </c>
      <c r="E1239" s="57" t="s">
        <v>252</v>
      </c>
      <c r="F1239">
        <v>0</v>
      </c>
      <c r="G1239">
        <v>7000</v>
      </c>
      <c r="H1239" s="11">
        <v>45396</v>
      </c>
      <c r="I1239" s="57" t="s">
        <v>257</v>
      </c>
      <c r="J1239" s="57" t="s">
        <v>143</v>
      </c>
      <c r="K1239" s="57" t="s">
        <v>197</v>
      </c>
      <c r="L1239" t="s">
        <v>243</v>
      </c>
    </row>
    <row r="1240" spans="1:12" x14ac:dyDescent="0.3">
      <c r="A1240" s="57" t="s">
        <v>1503</v>
      </c>
      <c r="B1240" s="57" t="s">
        <v>268</v>
      </c>
      <c r="C1240" s="57" t="s">
        <v>269</v>
      </c>
      <c r="D1240" s="57" t="s">
        <v>144</v>
      </c>
      <c r="E1240" s="57" t="s">
        <v>252</v>
      </c>
      <c r="F1240">
        <v>7</v>
      </c>
      <c r="G1240">
        <v>1530</v>
      </c>
      <c r="H1240" s="11">
        <v>45112</v>
      </c>
      <c r="I1240" s="57" t="s">
        <v>92</v>
      </c>
      <c r="J1240" s="57" t="s">
        <v>248</v>
      </c>
      <c r="K1240" s="57" t="s">
        <v>239</v>
      </c>
      <c r="L1240" t="s">
        <v>258</v>
      </c>
    </row>
    <row r="1241" spans="1:12" x14ac:dyDescent="0.3">
      <c r="A1241" s="57" t="s">
        <v>1504</v>
      </c>
      <c r="B1241" s="57" t="s">
        <v>251</v>
      </c>
      <c r="C1241" s="57" t="s">
        <v>237</v>
      </c>
      <c r="D1241" s="57" t="s">
        <v>153</v>
      </c>
      <c r="E1241" s="57" t="s">
        <v>256</v>
      </c>
      <c r="F1241">
        <v>10</v>
      </c>
      <c r="G1241">
        <v>4546</v>
      </c>
      <c r="H1241" s="11">
        <v>44929</v>
      </c>
      <c r="I1241" s="57" t="s">
        <v>291</v>
      </c>
      <c r="J1241" s="57" t="s">
        <v>150</v>
      </c>
      <c r="K1241" s="57" t="s">
        <v>239</v>
      </c>
      <c r="L1241" t="s">
        <v>240</v>
      </c>
    </row>
    <row r="1242" spans="1:12" x14ac:dyDescent="0.3">
      <c r="A1242" s="57" t="s">
        <v>1505</v>
      </c>
      <c r="B1242" s="57" t="s">
        <v>275</v>
      </c>
      <c r="C1242" s="57" t="s">
        <v>276</v>
      </c>
      <c r="D1242" s="57" t="s">
        <v>148</v>
      </c>
      <c r="E1242" s="57" t="s">
        <v>252</v>
      </c>
      <c r="F1242">
        <v>5</v>
      </c>
      <c r="G1242">
        <v>7000</v>
      </c>
      <c r="H1242" s="11">
        <v>45108</v>
      </c>
      <c r="I1242" s="57" t="s">
        <v>95</v>
      </c>
      <c r="J1242" s="57" t="s">
        <v>145</v>
      </c>
      <c r="K1242" s="57" t="s">
        <v>239</v>
      </c>
      <c r="L1242" t="s">
        <v>243</v>
      </c>
    </row>
    <row r="1243" spans="1:12" x14ac:dyDescent="0.3">
      <c r="A1243" s="57" t="s">
        <v>1506</v>
      </c>
      <c r="B1243" s="57" t="s">
        <v>247</v>
      </c>
      <c r="C1243" s="57" t="s">
        <v>237</v>
      </c>
      <c r="D1243" s="57" t="s">
        <v>153</v>
      </c>
      <c r="E1243" s="57" t="s">
        <v>252</v>
      </c>
      <c r="F1243">
        <v>10</v>
      </c>
      <c r="G1243">
        <v>7000</v>
      </c>
      <c r="H1243" s="11">
        <v>45312</v>
      </c>
      <c r="I1243" s="57" t="s">
        <v>95</v>
      </c>
      <c r="J1243" s="57" t="s">
        <v>147</v>
      </c>
      <c r="K1243" s="57" t="s">
        <v>249</v>
      </c>
      <c r="L1243" t="s">
        <v>243</v>
      </c>
    </row>
    <row r="1244" spans="1:12" x14ac:dyDescent="0.3">
      <c r="A1244" s="57" t="s">
        <v>1507</v>
      </c>
      <c r="B1244" s="57" t="s">
        <v>247</v>
      </c>
      <c r="C1244" s="57" t="s">
        <v>237</v>
      </c>
      <c r="D1244" s="57" t="s">
        <v>153</v>
      </c>
      <c r="E1244" s="57" t="s">
        <v>256</v>
      </c>
      <c r="F1244">
        <v>7</v>
      </c>
      <c r="G1244">
        <v>7000</v>
      </c>
      <c r="H1244" s="11">
        <v>44935</v>
      </c>
      <c r="I1244" s="57" t="s">
        <v>89</v>
      </c>
      <c r="J1244" s="57" t="s">
        <v>147</v>
      </c>
      <c r="K1244" s="57" t="s">
        <v>197</v>
      </c>
      <c r="L1244" t="s">
        <v>243</v>
      </c>
    </row>
    <row r="1245" spans="1:12" x14ac:dyDescent="0.3">
      <c r="A1245" s="57" t="s">
        <v>1508</v>
      </c>
      <c r="B1245" s="57" t="s">
        <v>262</v>
      </c>
      <c r="C1245" s="57" t="s">
        <v>263</v>
      </c>
      <c r="D1245" s="57" t="s">
        <v>153</v>
      </c>
      <c r="E1245" s="57" t="s">
        <v>252</v>
      </c>
      <c r="F1245">
        <v>7</v>
      </c>
      <c r="G1245">
        <v>3757</v>
      </c>
      <c r="H1245" s="11">
        <v>45458</v>
      </c>
      <c r="I1245" s="57" t="s">
        <v>242</v>
      </c>
      <c r="J1245" s="57" t="s">
        <v>143</v>
      </c>
      <c r="K1245" s="57" t="s">
        <v>238</v>
      </c>
      <c r="L1245" t="s">
        <v>258</v>
      </c>
    </row>
    <row r="1246" spans="1:12" x14ac:dyDescent="0.3">
      <c r="A1246" s="57" t="s">
        <v>1509</v>
      </c>
      <c r="B1246" s="57" t="s">
        <v>255</v>
      </c>
      <c r="C1246" s="57" t="s">
        <v>237</v>
      </c>
      <c r="D1246" s="57" t="s">
        <v>151</v>
      </c>
      <c r="E1246" s="57" t="s">
        <v>256</v>
      </c>
      <c r="F1246">
        <v>10</v>
      </c>
      <c r="G1246">
        <v>5900</v>
      </c>
      <c r="H1246" s="11">
        <v>45393</v>
      </c>
      <c r="I1246" s="57" t="s">
        <v>100</v>
      </c>
      <c r="J1246" s="57" t="s">
        <v>145</v>
      </c>
      <c r="K1246" s="57" t="s">
        <v>239</v>
      </c>
      <c r="L1246" t="s">
        <v>240</v>
      </c>
    </row>
    <row r="1247" spans="1:12" x14ac:dyDescent="0.3">
      <c r="A1247" s="57" t="s">
        <v>1510</v>
      </c>
      <c r="B1247" s="57" t="s">
        <v>245</v>
      </c>
      <c r="C1247" s="57" t="s">
        <v>237</v>
      </c>
      <c r="D1247" s="57" t="s">
        <v>238</v>
      </c>
      <c r="E1247" s="57" t="s">
        <v>256</v>
      </c>
      <c r="F1247">
        <v>0</v>
      </c>
      <c r="G1247">
        <v>5900</v>
      </c>
      <c r="H1247" s="11">
        <v>45205</v>
      </c>
      <c r="I1247" s="57" t="s">
        <v>100</v>
      </c>
      <c r="J1247" s="57" t="s">
        <v>145</v>
      </c>
      <c r="K1247" s="57" t="s">
        <v>249</v>
      </c>
      <c r="L1247" t="s">
        <v>240</v>
      </c>
    </row>
    <row r="1248" spans="1:12" x14ac:dyDescent="0.3">
      <c r="A1248" s="57" t="s">
        <v>1511</v>
      </c>
      <c r="B1248" s="57" t="s">
        <v>236</v>
      </c>
      <c r="C1248" s="57" t="s">
        <v>237</v>
      </c>
      <c r="D1248" s="57" t="s">
        <v>146</v>
      </c>
      <c r="E1248" s="57" t="s">
        <v>149</v>
      </c>
      <c r="F1248">
        <v>0</v>
      </c>
      <c r="G1248">
        <v>7000</v>
      </c>
      <c r="H1248" s="11">
        <v>44931</v>
      </c>
      <c r="I1248" s="57" t="s">
        <v>266</v>
      </c>
      <c r="J1248" s="57" t="s">
        <v>150</v>
      </c>
      <c r="K1248" s="57" t="s">
        <v>249</v>
      </c>
      <c r="L1248" t="s">
        <v>243</v>
      </c>
    </row>
    <row r="1249" spans="1:12" x14ac:dyDescent="0.3">
      <c r="A1249" s="57" t="s">
        <v>1512</v>
      </c>
      <c r="B1249" s="57" t="s">
        <v>275</v>
      </c>
      <c r="C1249" s="57" t="s">
        <v>276</v>
      </c>
      <c r="D1249" s="57" t="s">
        <v>238</v>
      </c>
      <c r="E1249" s="57" t="s">
        <v>142</v>
      </c>
      <c r="F1249">
        <v>3</v>
      </c>
      <c r="G1249">
        <v>3145</v>
      </c>
      <c r="H1249" s="11">
        <v>45139</v>
      </c>
      <c r="I1249" s="57" t="s">
        <v>92</v>
      </c>
      <c r="J1249" s="57" t="s">
        <v>143</v>
      </c>
      <c r="K1249" s="57" t="s">
        <v>239</v>
      </c>
      <c r="L1249" t="s">
        <v>258</v>
      </c>
    </row>
    <row r="1250" spans="1:12" x14ac:dyDescent="0.3">
      <c r="A1250" s="57" t="s">
        <v>1513</v>
      </c>
      <c r="B1250" s="57" t="s">
        <v>251</v>
      </c>
      <c r="C1250" s="57" t="s">
        <v>237</v>
      </c>
      <c r="D1250" s="57" t="s">
        <v>151</v>
      </c>
      <c r="E1250" s="57" t="s">
        <v>252</v>
      </c>
      <c r="F1250">
        <v>7</v>
      </c>
      <c r="G1250">
        <v>7000</v>
      </c>
      <c r="H1250" s="11">
        <v>45587</v>
      </c>
      <c r="I1250" s="57" t="s">
        <v>100</v>
      </c>
      <c r="J1250" s="57" t="s">
        <v>248</v>
      </c>
      <c r="K1250" s="57" t="s">
        <v>253</v>
      </c>
      <c r="L1250" t="s">
        <v>243</v>
      </c>
    </row>
    <row r="1251" spans="1:12" x14ac:dyDescent="0.3">
      <c r="A1251" s="57" t="s">
        <v>1514</v>
      </c>
      <c r="B1251" s="57" t="s">
        <v>245</v>
      </c>
      <c r="C1251" s="57" t="s">
        <v>237</v>
      </c>
      <c r="D1251" s="57" t="s">
        <v>141</v>
      </c>
      <c r="E1251" s="57" t="s">
        <v>142</v>
      </c>
      <c r="F1251">
        <v>0</v>
      </c>
      <c r="G1251">
        <v>5900</v>
      </c>
      <c r="H1251" s="11">
        <v>45310</v>
      </c>
      <c r="I1251" s="57" t="s">
        <v>95</v>
      </c>
      <c r="J1251" s="57" t="s">
        <v>143</v>
      </c>
      <c r="K1251" s="57" t="s">
        <v>239</v>
      </c>
      <c r="L1251" t="s">
        <v>240</v>
      </c>
    </row>
    <row r="1252" spans="1:12" x14ac:dyDescent="0.3">
      <c r="A1252" s="57" t="s">
        <v>1515</v>
      </c>
      <c r="B1252" s="57" t="s">
        <v>268</v>
      </c>
      <c r="C1252" s="57" t="s">
        <v>269</v>
      </c>
      <c r="D1252" s="57" t="s">
        <v>238</v>
      </c>
      <c r="E1252" s="57" t="s">
        <v>142</v>
      </c>
      <c r="F1252">
        <v>10</v>
      </c>
      <c r="G1252">
        <v>7000</v>
      </c>
      <c r="H1252" s="11">
        <v>45072</v>
      </c>
      <c r="I1252" s="57" t="s">
        <v>257</v>
      </c>
      <c r="J1252" s="57" t="s">
        <v>248</v>
      </c>
      <c r="K1252" s="57" t="s">
        <v>197</v>
      </c>
      <c r="L1252" t="s">
        <v>243</v>
      </c>
    </row>
    <row r="1253" spans="1:12" x14ac:dyDescent="0.3">
      <c r="A1253" s="57" t="s">
        <v>1516</v>
      </c>
      <c r="B1253" s="57" t="s">
        <v>262</v>
      </c>
      <c r="C1253" s="57" t="s">
        <v>263</v>
      </c>
      <c r="D1253" s="57" t="s">
        <v>146</v>
      </c>
      <c r="E1253" s="57" t="s">
        <v>252</v>
      </c>
      <c r="F1253">
        <v>10</v>
      </c>
      <c r="G1253">
        <v>5900</v>
      </c>
      <c r="H1253" s="11">
        <v>45266</v>
      </c>
      <c r="I1253" s="57" t="s">
        <v>89</v>
      </c>
      <c r="J1253" s="57" t="s">
        <v>143</v>
      </c>
      <c r="K1253" s="57" t="s">
        <v>239</v>
      </c>
      <c r="L1253" t="s">
        <v>240</v>
      </c>
    </row>
    <row r="1254" spans="1:12" x14ac:dyDescent="0.3">
      <c r="A1254" s="57" t="s">
        <v>1517</v>
      </c>
      <c r="B1254" s="57" t="s">
        <v>268</v>
      </c>
      <c r="C1254" s="57" t="s">
        <v>269</v>
      </c>
      <c r="D1254" s="57" t="s">
        <v>146</v>
      </c>
      <c r="E1254" s="57" t="s">
        <v>142</v>
      </c>
      <c r="F1254">
        <v>0</v>
      </c>
      <c r="G1254">
        <v>7000</v>
      </c>
      <c r="H1254" s="11">
        <v>45242</v>
      </c>
      <c r="I1254" s="57" t="s">
        <v>100</v>
      </c>
      <c r="J1254" s="57" t="s">
        <v>143</v>
      </c>
      <c r="K1254" s="57" t="s">
        <v>239</v>
      </c>
      <c r="L1254" t="s">
        <v>243</v>
      </c>
    </row>
    <row r="1255" spans="1:12" x14ac:dyDescent="0.3">
      <c r="A1255" s="57" t="s">
        <v>1518</v>
      </c>
      <c r="B1255" s="57" t="s">
        <v>268</v>
      </c>
      <c r="C1255" s="57" t="s">
        <v>269</v>
      </c>
      <c r="D1255" s="57" t="s">
        <v>238</v>
      </c>
      <c r="E1255" s="57" t="s">
        <v>256</v>
      </c>
      <c r="F1255">
        <v>5</v>
      </c>
      <c r="G1255">
        <v>2817</v>
      </c>
      <c r="H1255" s="11">
        <v>45118</v>
      </c>
      <c r="I1255" s="57" t="s">
        <v>89</v>
      </c>
      <c r="J1255" s="57" t="s">
        <v>150</v>
      </c>
      <c r="K1255" s="57" t="s">
        <v>253</v>
      </c>
      <c r="L1255" t="s">
        <v>258</v>
      </c>
    </row>
    <row r="1256" spans="1:12" x14ac:dyDescent="0.3">
      <c r="A1256" s="57" t="s">
        <v>1519</v>
      </c>
      <c r="B1256" s="57" t="s">
        <v>268</v>
      </c>
      <c r="C1256" s="57" t="s">
        <v>269</v>
      </c>
      <c r="D1256" s="57" t="s">
        <v>238</v>
      </c>
      <c r="E1256" s="57" t="s">
        <v>260</v>
      </c>
      <c r="F1256">
        <v>7</v>
      </c>
      <c r="G1256">
        <v>5900</v>
      </c>
      <c r="H1256" s="11">
        <v>45091</v>
      </c>
      <c r="I1256" s="57" t="s">
        <v>95</v>
      </c>
      <c r="J1256" s="57" t="s">
        <v>143</v>
      </c>
      <c r="K1256" s="57" t="s">
        <v>239</v>
      </c>
      <c r="L1256" t="s">
        <v>240</v>
      </c>
    </row>
    <row r="1257" spans="1:12" x14ac:dyDescent="0.3">
      <c r="A1257" s="57" t="s">
        <v>1520</v>
      </c>
      <c r="B1257" s="57" t="s">
        <v>273</v>
      </c>
      <c r="C1257" s="57" t="s">
        <v>237</v>
      </c>
      <c r="D1257" s="57" t="s">
        <v>146</v>
      </c>
      <c r="E1257" s="57" t="s">
        <v>252</v>
      </c>
      <c r="F1257">
        <v>10</v>
      </c>
      <c r="G1257">
        <v>7000</v>
      </c>
      <c r="H1257" s="11">
        <v>44975</v>
      </c>
      <c r="I1257" s="57" t="s">
        <v>100</v>
      </c>
      <c r="J1257" s="57" t="s">
        <v>248</v>
      </c>
      <c r="K1257" s="57" t="s">
        <v>197</v>
      </c>
      <c r="L1257" t="s">
        <v>243</v>
      </c>
    </row>
    <row r="1258" spans="1:12" x14ac:dyDescent="0.3">
      <c r="A1258" s="57" t="s">
        <v>1521</v>
      </c>
      <c r="B1258" s="57" t="s">
        <v>275</v>
      </c>
      <c r="C1258" s="57" t="s">
        <v>276</v>
      </c>
      <c r="D1258" s="57" t="s">
        <v>146</v>
      </c>
      <c r="E1258" s="57" t="s">
        <v>256</v>
      </c>
      <c r="F1258">
        <v>0</v>
      </c>
      <c r="G1258">
        <v>7000</v>
      </c>
      <c r="H1258" s="11">
        <v>45503</v>
      </c>
      <c r="I1258" s="57" t="s">
        <v>89</v>
      </c>
      <c r="J1258" s="57" t="s">
        <v>147</v>
      </c>
      <c r="K1258" s="57" t="s">
        <v>264</v>
      </c>
      <c r="L1258" t="s">
        <v>243</v>
      </c>
    </row>
    <row r="1259" spans="1:12" x14ac:dyDescent="0.3">
      <c r="A1259" s="57" t="s">
        <v>1522</v>
      </c>
      <c r="B1259" s="57" t="s">
        <v>262</v>
      </c>
      <c r="C1259" s="57" t="s">
        <v>263</v>
      </c>
      <c r="D1259" s="57" t="s">
        <v>144</v>
      </c>
      <c r="E1259" s="57" t="s">
        <v>142</v>
      </c>
      <c r="F1259">
        <v>10</v>
      </c>
      <c r="G1259">
        <v>5900</v>
      </c>
      <c r="H1259" s="11">
        <v>45195</v>
      </c>
      <c r="I1259" s="57" t="s">
        <v>257</v>
      </c>
      <c r="J1259" s="57" t="s">
        <v>147</v>
      </c>
      <c r="K1259" s="57" t="s">
        <v>264</v>
      </c>
      <c r="L1259" t="s">
        <v>240</v>
      </c>
    </row>
    <row r="1260" spans="1:12" x14ac:dyDescent="0.3">
      <c r="A1260" s="57" t="s">
        <v>1523</v>
      </c>
      <c r="B1260" s="57" t="s">
        <v>255</v>
      </c>
      <c r="C1260" s="57" t="s">
        <v>237</v>
      </c>
      <c r="D1260" s="57" t="s">
        <v>146</v>
      </c>
      <c r="E1260" s="57" t="s">
        <v>142</v>
      </c>
      <c r="F1260">
        <v>0</v>
      </c>
      <c r="G1260">
        <v>4529</v>
      </c>
      <c r="H1260" s="11">
        <v>45419</v>
      </c>
      <c r="I1260" s="57" t="s">
        <v>266</v>
      </c>
      <c r="J1260" s="57" t="s">
        <v>248</v>
      </c>
      <c r="K1260" s="57" t="s">
        <v>264</v>
      </c>
      <c r="L1260" t="s">
        <v>240</v>
      </c>
    </row>
    <row r="1261" spans="1:12" x14ac:dyDescent="0.3">
      <c r="A1261" s="57" t="s">
        <v>1524</v>
      </c>
      <c r="B1261" s="57" t="s">
        <v>236</v>
      </c>
      <c r="C1261" s="57" t="s">
        <v>237</v>
      </c>
      <c r="D1261" s="57" t="s">
        <v>144</v>
      </c>
      <c r="E1261" s="57" t="s">
        <v>252</v>
      </c>
      <c r="F1261">
        <v>5</v>
      </c>
      <c r="G1261">
        <v>2080</v>
      </c>
      <c r="H1261" s="11">
        <v>45356</v>
      </c>
      <c r="I1261" s="57" t="s">
        <v>291</v>
      </c>
      <c r="J1261" s="57" t="s">
        <v>145</v>
      </c>
      <c r="K1261" s="57" t="s">
        <v>239</v>
      </c>
      <c r="L1261" t="s">
        <v>258</v>
      </c>
    </row>
    <row r="1262" spans="1:12" x14ac:dyDescent="0.3">
      <c r="A1262" s="57" t="s">
        <v>1525</v>
      </c>
      <c r="B1262" s="57" t="s">
        <v>251</v>
      </c>
      <c r="C1262" s="57" t="s">
        <v>237</v>
      </c>
      <c r="D1262" s="57" t="s">
        <v>152</v>
      </c>
      <c r="E1262" s="57" t="s">
        <v>149</v>
      </c>
      <c r="F1262">
        <v>8</v>
      </c>
      <c r="G1262">
        <v>7000</v>
      </c>
      <c r="H1262" s="11">
        <v>45351</v>
      </c>
      <c r="I1262" s="57" t="s">
        <v>291</v>
      </c>
      <c r="J1262" s="57" t="s">
        <v>248</v>
      </c>
      <c r="K1262" s="57" t="s">
        <v>239</v>
      </c>
      <c r="L1262" t="s">
        <v>243</v>
      </c>
    </row>
    <row r="1263" spans="1:12" x14ac:dyDescent="0.3">
      <c r="A1263" s="57" t="s">
        <v>1526</v>
      </c>
      <c r="B1263" s="57" t="s">
        <v>255</v>
      </c>
      <c r="C1263" s="57" t="s">
        <v>237</v>
      </c>
      <c r="D1263" s="57" t="s">
        <v>238</v>
      </c>
      <c r="E1263" s="57" t="s">
        <v>149</v>
      </c>
      <c r="F1263">
        <v>5</v>
      </c>
      <c r="G1263">
        <v>5900</v>
      </c>
      <c r="H1263" s="11">
        <v>45132</v>
      </c>
      <c r="I1263" s="57" t="s">
        <v>100</v>
      </c>
      <c r="J1263" s="57" t="s">
        <v>147</v>
      </c>
      <c r="K1263" s="57" t="s">
        <v>239</v>
      </c>
      <c r="L1263" t="s">
        <v>240</v>
      </c>
    </row>
    <row r="1264" spans="1:12" x14ac:dyDescent="0.3">
      <c r="A1264" s="57" t="s">
        <v>1527</v>
      </c>
      <c r="B1264" s="57" t="s">
        <v>273</v>
      </c>
      <c r="C1264" s="57" t="s">
        <v>237</v>
      </c>
      <c r="D1264" s="57" t="s">
        <v>146</v>
      </c>
      <c r="E1264" s="57" t="s">
        <v>149</v>
      </c>
      <c r="F1264">
        <v>10</v>
      </c>
      <c r="G1264">
        <v>7000</v>
      </c>
      <c r="H1264" s="11">
        <v>45081</v>
      </c>
      <c r="I1264" s="57" t="s">
        <v>242</v>
      </c>
      <c r="J1264" s="57" t="s">
        <v>150</v>
      </c>
      <c r="K1264" s="57" t="s">
        <v>249</v>
      </c>
      <c r="L1264" t="s">
        <v>243</v>
      </c>
    </row>
    <row r="1265" spans="1:12" x14ac:dyDescent="0.3">
      <c r="A1265" s="57" t="s">
        <v>1528</v>
      </c>
      <c r="B1265" s="57" t="s">
        <v>245</v>
      </c>
      <c r="C1265" s="57" t="s">
        <v>237</v>
      </c>
      <c r="D1265" s="57" t="s">
        <v>153</v>
      </c>
      <c r="E1265" s="57" t="s">
        <v>149</v>
      </c>
      <c r="F1265">
        <v>7</v>
      </c>
      <c r="G1265">
        <v>7000</v>
      </c>
      <c r="H1265" s="11">
        <v>45499</v>
      </c>
      <c r="I1265" s="57" t="s">
        <v>266</v>
      </c>
      <c r="J1265" s="57" t="s">
        <v>145</v>
      </c>
      <c r="K1265" s="57" t="s">
        <v>239</v>
      </c>
      <c r="L1265" t="s">
        <v>243</v>
      </c>
    </row>
    <row r="1266" spans="1:12" x14ac:dyDescent="0.3">
      <c r="A1266" s="57" t="s">
        <v>1529</v>
      </c>
      <c r="B1266" s="57" t="s">
        <v>273</v>
      </c>
      <c r="C1266" s="57" t="s">
        <v>237</v>
      </c>
      <c r="D1266" s="57" t="s">
        <v>141</v>
      </c>
      <c r="E1266" s="57" t="s">
        <v>260</v>
      </c>
      <c r="F1266">
        <v>6</v>
      </c>
      <c r="G1266">
        <v>3863</v>
      </c>
      <c r="H1266" s="11">
        <v>45133</v>
      </c>
      <c r="I1266" s="57" t="s">
        <v>266</v>
      </c>
      <c r="J1266" s="57" t="s">
        <v>147</v>
      </c>
      <c r="K1266" s="57" t="s">
        <v>239</v>
      </c>
      <c r="L1266" t="s">
        <v>258</v>
      </c>
    </row>
    <row r="1267" spans="1:12" x14ac:dyDescent="0.3">
      <c r="A1267" s="57" t="s">
        <v>1530</v>
      </c>
      <c r="B1267" s="57" t="s">
        <v>268</v>
      </c>
      <c r="C1267" s="57" t="s">
        <v>269</v>
      </c>
      <c r="D1267" s="57" t="s">
        <v>238</v>
      </c>
      <c r="E1267" s="57" t="s">
        <v>149</v>
      </c>
      <c r="F1267">
        <v>0</v>
      </c>
      <c r="G1267">
        <v>7000</v>
      </c>
      <c r="H1267" s="11">
        <v>45445</v>
      </c>
      <c r="I1267" s="57" t="s">
        <v>92</v>
      </c>
      <c r="J1267" s="57" t="s">
        <v>248</v>
      </c>
      <c r="K1267" s="57" t="s">
        <v>253</v>
      </c>
      <c r="L1267" t="s">
        <v>243</v>
      </c>
    </row>
    <row r="1268" spans="1:12" x14ac:dyDescent="0.3">
      <c r="A1268" s="57" t="s">
        <v>1531</v>
      </c>
      <c r="B1268" s="57" t="s">
        <v>236</v>
      </c>
      <c r="C1268" s="57" t="s">
        <v>237</v>
      </c>
      <c r="D1268" s="57" t="s">
        <v>141</v>
      </c>
      <c r="E1268" s="57" t="s">
        <v>256</v>
      </c>
      <c r="F1268">
        <v>0</v>
      </c>
      <c r="G1268">
        <v>5900</v>
      </c>
      <c r="H1268" s="11">
        <v>45475</v>
      </c>
      <c r="I1268" s="57" t="s">
        <v>257</v>
      </c>
      <c r="J1268" s="57" t="s">
        <v>248</v>
      </c>
      <c r="K1268" s="57" t="s">
        <v>239</v>
      </c>
      <c r="L1268" t="s">
        <v>240</v>
      </c>
    </row>
    <row r="1269" spans="1:12" x14ac:dyDescent="0.3">
      <c r="A1269" s="57" t="s">
        <v>1532</v>
      </c>
      <c r="B1269" s="57" t="s">
        <v>273</v>
      </c>
      <c r="C1269" s="57" t="s">
        <v>237</v>
      </c>
      <c r="D1269" s="57" t="s">
        <v>238</v>
      </c>
      <c r="E1269" s="57" t="s">
        <v>252</v>
      </c>
      <c r="F1269">
        <v>0</v>
      </c>
      <c r="G1269">
        <v>7000</v>
      </c>
      <c r="H1269" s="11">
        <v>45332</v>
      </c>
      <c r="I1269" s="57" t="s">
        <v>242</v>
      </c>
      <c r="J1269" s="57" t="s">
        <v>145</v>
      </c>
      <c r="K1269" s="57" t="s">
        <v>239</v>
      </c>
      <c r="L1269" t="s">
        <v>243</v>
      </c>
    </row>
    <row r="1270" spans="1:12" x14ac:dyDescent="0.3">
      <c r="A1270" s="57" t="s">
        <v>1533</v>
      </c>
      <c r="B1270" s="57" t="s">
        <v>247</v>
      </c>
      <c r="C1270" s="57" t="s">
        <v>237</v>
      </c>
      <c r="D1270" s="57" t="s">
        <v>144</v>
      </c>
      <c r="E1270" s="57" t="s">
        <v>142</v>
      </c>
      <c r="F1270">
        <v>6</v>
      </c>
      <c r="G1270">
        <v>4307</v>
      </c>
      <c r="H1270" s="11">
        <v>44960</v>
      </c>
      <c r="I1270" s="57" t="s">
        <v>257</v>
      </c>
      <c r="J1270" s="57" t="s">
        <v>143</v>
      </c>
      <c r="K1270" s="57" t="s">
        <v>238</v>
      </c>
      <c r="L1270" t="s">
        <v>240</v>
      </c>
    </row>
    <row r="1271" spans="1:12" x14ac:dyDescent="0.3">
      <c r="A1271" s="57" t="s">
        <v>1534</v>
      </c>
      <c r="B1271" s="57" t="s">
        <v>268</v>
      </c>
      <c r="C1271" s="57" t="s">
        <v>269</v>
      </c>
      <c r="D1271" s="57" t="s">
        <v>146</v>
      </c>
      <c r="E1271" s="57" t="s">
        <v>256</v>
      </c>
      <c r="F1271">
        <v>0</v>
      </c>
      <c r="G1271">
        <v>7000</v>
      </c>
      <c r="H1271" s="11">
        <v>45590</v>
      </c>
      <c r="I1271" s="57" t="s">
        <v>89</v>
      </c>
      <c r="J1271" s="57" t="s">
        <v>150</v>
      </c>
      <c r="K1271" s="57" t="s">
        <v>249</v>
      </c>
      <c r="L1271" t="s">
        <v>243</v>
      </c>
    </row>
    <row r="1272" spans="1:12" x14ac:dyDescent="0.3">
      <c r="A1272" s="57" t="s">
        <v>1535</v>
      </c>
      <c r="B1272" s="57" t="s">
        <v>262</v>
      </c>
      <c r="C1272" s="57" t="s">
        <v>263</v>
      </c>
      <c r="D1272" s="57" t="s">
        <v>144</v>
      </c>
      <c r="E1272" s="57" t="s">
        <v>252</v>
      </c>
      <c r="F1272">
        <v>0</v>
      </c>
      <c r="G1272">
        <v>7000</v>
      </c>
      <c r="H1272" s="11">
        <v>45169</v>
      </c>
      <c r="I1272" s="57" t="s">
        <v>100</v>
      </c>
      <c r="J1272" s="57" t="s">
        <v>147</v>
      </c>
      <c r="K1272" s="57" t="s">
        <v>238</v>
      </c>
      <c r="L1272" t="s">
        <v>243</v>
      </c>
    </row>
    <row r="1273" spans="1:12" x14ac:dyDescent="0.3">
      <c r="A1273" s="57" t="s">
        <v>1536</v>
      </c>
      <c r="B1273" s="57" t="s">
        <v>245</v>
      </c>
      <c r="C1273" s="57" t="s">
        <v>237</v>
      </c>
      <c r="D1273" s="57" t="s">
        <v>148</v>
      </c>
      <c r="E1273" s="57" t="s">
        <v>256</v>
      </c>
      <c r="F1273">
        <v>7</v>
      </c>
      <c r="G1273">
        <v>3178</v>
      </c>
      <c r="H1273" s="11">
        <v>45315</v>
      </c>
      <c r="I1273" s="57" t="s">
        <v>95</v>
      </c>
      <c r="J1273" s="57" t="s">
        <v>248</v>
      </c>
      <c r="K1273" s="57" t="s">
        <v>238</v>
      </c>
      <c r="L1273" t="s">
        <v>258</v>
      </c>
    </row>
    <row r="1274" spans="1:12" x14ac:dyDescent="0.3">
      <c r="A1274" s="57" t="s">
        <v>1537</v>
      </c>
      <c r="B1274" s="57" t="s">
        <v>273</v>
      </c>
      <c r="C1274" s="57" t="s">
        <v>237</v>
      </c>
      <c r="D1274" s="57" t="s">
        <v>148</v>
      </c>
      <c r="E1274" s="57" t="s">
        <v>260</v>
      </c>
      <c r="F1274">
        <v>0</v>
      </c>
      <c r="G1274">
        <v>3911</v>
      </c>
      <c r="H1274" s="11">
        <v>45332</v>
      </c>
      <c r="I1274" s="57" t="s">
        <v>95</v>
      </c>
      <c r="J1274" s="57" t="s">
        <v>147</v>
      </c>
      <c r="K1274" s="57" t="s">
        <v>197</v>
      </c>
      <c r="L1274" t="s">
        <v>258</v>
      </c>
    </row>
    <row r="1275" spans="1:12" x14ac:dyDescent="0.3">
      <c r="A1275" s="57" t="s">
        <v>1538</v>
      </c>
      <c r="B1275" s="57" t="s">
        <v>268</v>
      </c>
      <c r="C1275" s="57" t="s">
        <v>269</v>
      </c>
      <c r="D1275" s="57" t="s">
        <v>153</v>
      </c>
      <c r="E1275" s="57" t="s">
        <v>252</v>
      </c>
      <c r="F1275">
        <v>0</v>
      </c>
      <c r="G1275">
        <v>7000</v>
      </c>
      <c r="H1275" s="11">
        <v>45292</v>
      </c>
      <c r="I1275" s="57" t="s">
        <v>100</v>
      </c>
      <c r="J1275" s="57" t="s">
        <v>150</v>
      </c>
      <c r="K1275" s="57" t="s">
        <v>253</v>
      </c>
      <c r="L1275" t="s">
        <v>243</v>
      </c>
    </row>
    <row r="1276" spans="1:12" x14ac:dyDescent="0.3">
      <c r="A1276" s="57" t="s">
        <v>1539</v>
      </c>
      <c r="B1276" s="57" t="s">
        <v>273</v>
      </c>
      <c r="C1276" s="57" t="s">
        <v>237</v>
      </c>
      <c r="D1276" s="57" t="s">
        <v>152</v>
      </c>
      <c r="E1276" s="57" t="s">
        <v>149</v>
      </c>
      <c r="F1276">
        <v>7</v>
      </c>
      <c r="G1276">
        <v>442</v>
      </c>
      <c r="H1276" s="11">
        <v>45574</v>
      </c>
      <c r="I1276" s="57" t="s">
        <v>257</v>
      </c>
      <c r="J1276" s="57" t="s">
        <v>147</v>
      </c>
      <c r="K1276" s="57" t="s">
        <v>264</v>
      </c>
      <c r="L1276" t="s">
        <v>302</v>
      </c>
    </row>
    <row r="1277" spans="1:12" x14ac:dyDescent="0.3">
      <c r="A1277" s="57" t="s">
        <v>1540</v>
      </c>
      <c r="B1277" s="57" t="s">
        <v>262</v>
      </c>
      <c r="C1277" s="57" t="s">
        <v>263</v>
      </c>
      <c r="D1277" s="57" t="s">
        <v>152</v>
      </c>
      <c r="E1277" s="57" t="s">
        <v>256</v>
      </c>
      <c r="F1277">
        <v>5</v>
      </c>
      <c r="G1277">
        <v>7000</v>
      </c>
      <c r="H1277" s="11">
        <v>45124</v>
      </c>
      <c r="I1277" s="57" t="s">
        <v>242</v>
      </c>
      <c r="J1277" s="57" t="s">
        <v>248</v>
      </c>
      <c r="K1277" s="57" t="s">
        <v>238</v>
      </c>
      <c r="L1277" t="s">
        <v>243</v>
      </c>
    </row>
    <row r="1278" spans="1:12" x14ac:dyDescent="0.3">
      <c r="A1278" s="57" t="s">
        <v>1541</v>
      </c>
      <c r="B1278" s="57" t="s">
        <v>275</v>
      </c>
      <c r="C1278" s="57" t="s">
        <v>276</v>
      </c>
      <c r="D1278" s="57" t="s">
        <v>144</v>
      </c>
      <c r="E1278" s="57" t="s">
        <v>149</v>
      </c>
      <c r="F1278">
        <v>5</v>
      </c>
      <c r="G1278">
        <v>7000</v>
      </c>
      <c r="H1278" s="11">
        <v>45210</v>
      </c>
      <c r="I1278" s="57" t="s">
        <v>291</v>
      </c>
      <c r="J1278" s="57" t="s">
        <v>147</v>
      </c>
      <c r="K1278" s="57" t="s">
        <v>249</v>
      </c>
      <c r="L1278" t="s">
        <v>243</v>
      </c>
    </row>
    <row r="1279" spans="1:12" x14ac:dyDescent="0.3">
      <c r="A1279" s="57" t="s">
        <v>1542</v>
      </c>
      <c r="B1279" s="57" t="s">
        <v>195</v>
      </c>
      <c r="C1279" s="57" t="s">
        <v>196</v>
      </c>
      <c r="D1279" s="57" t="s">
        <v>238</v>
      </c>
      <c r="E1279" s="57" t="s">
        <v>252</v>
      </c>
      <c r="F1279">
        <v>5</v>
      </c>
      <c r="G1279">
        <v>7000</v>
      </c>
      <c r="H1279" s="11">
        <v>45000</v>
      </c>
      <c r="I1279" s="57" t="s">
        <v>257</v>
      </c>
      <c r="J1279" s="57" t="s">
        <v>143</v>
      </c>
      <c r="K1279" s="57" t="s">
        <v>197</v>
      </c>
      <c r="L1279" t="s">
        <v>243</v>
      </c>
    </row>
    <row r="1280" spans="1:12" x14ac:dyDescent="0.3">
      <c r="A1280" s="57" t="s">
        <v>1543</v>
      </c>
      <c r="B1280" s="57" t="s">
        <v>262</v>
      </c>
      <c r="C1280" s="57" t="s">
        <v>263</v>
      </c>
      <c r="D1280" s="57" t="s">
        <v>151</v>
      </c>
      <c r="E1280" s="57" t="s">
        <v>142</v>
      </c>
      <c r="F1280">
        <v>8</v>
      </c>
      <c r="G1280">
        <v>3236</v>
      </c>
      <c r="H1280" s="11">
        <v>45207</v>
      </c>
      <c r="I1280" s="57" t="s">
        <v>89</v>
      </c>
      <c r="J1280" s="57" t="s">
        <v>248</v>
      </c>
      <c r="K1280" s="57" t="s">
        <v>264</v>
      </c>
      <c r="L1280" t="s">
        <v>258</v>
      </c>
    </row>
    <row r="1281" spans="1:12" x14ac:dyDescent="0.3">
      <c r="A1281" s="57" t="s">
        <v>1544</v>
      </c>
      <c r="B1281" s="57" t="s">
        <v>195</v>
      </c>
      <c r="C1281" s="57" t="s">
        <v>196</v>
      </c>
      <c r="D1281" s="57" t="s">
        <v>141</v>
      </c>
      <c r="E1281" s="57" t="s">
        <v>256</v>
      </c>
      <c r="F1281">
        <v>6</v>
      </c>
      <c r="G1281">
        <v>7000</v>
      </c>
      <c r="H1281" s="11">
        <v>45073</v>
      </c>
      <c r="I1281" s="57" t="s">
        <v>242</v>
      </c>
      <c r="J1281" s="57" t="s">
        <v>145</v>
      </c>
      <c r="K1281" s="57" t="s">
        <v>197</v>
      </c>
      <c r="L1281" t="s">
        <v>243</v>
      </c>
    </row>
    <row r="1282" spans="1:12" x14ac:dyDescent="0.3">
      <c r="A1282" s="57" t="s">
        <v>1545</v>
      </c>
      <c r="B1282" s="57" t="s">
        <v>255</v>
      </c>
      <c r="C1282" s="57" t="s">
        <v>237</v>
      </c>
      <c r="D1282" s="57" t="s">
        <v>144</v>
      </c>
      <c r="E1282" s="57" t="s">
        <v>142</v>
      </c>
      <c r="F1282">
        <v>0</v>
      </c>
      <c r="G1282">
        <v>5900</v>
      </c>
      <c r="H1282" s="11">
        <v>45194</v>
      </c>
      <c r="I1282" s="57" t="s">
        <v>95</v>
      </c>
      <c r="J1282" s="57" t="s">
        <v>145</v>
      </c>
      <c r="K1282" s="57" t="s">
        <v>197</v>
      </c>
      <c r="L1282" t="s">
        <v>240</v>
      </c>
    </row>
    <row r="1283" spans="1:12" x14ac:dyDescent="0.3">
      <c r="A1283" s="57" t="s">
        <v>1546</v>
      </c>
      <c r="B1283" s="57" t="s">
        <v>251</v>
      </c>
      <c r="C1283" s="57" t="s">
        <v>237</v>
      </c>
      <c r="D1283" s="57" t="s">
        <v>144</v>
      </c>
      <c r="E1283" s="57" t="s">
        <v>142</v>
      </c>
      <c r="F1283">
        <v>10</v>
      </c>
      <c r="G1283">
        <v>170</v>
      </c>
      <c r="H1283" s="11">
        <v>45255</v>
      </c>
      <c r="I1283" s="57" t="s">
        <v>242</v>
      </c>
      <c r="J1283" s="57" t="s">
        <v>147</v>
      </c>
      <c r="K1283" s="57" t="s">
        <v>238</v>
      </c>
      <c r="L1283" t="s">
        <v>302</v>
      </c>
    </row>
    <row r="1284" spans="1:12" x14ac:dyDescent="0.3">
      <c r="A1284" s="57" t="s">
        <v>1547</v>
      </c>
      <c r="B1284" s="57" t="s">
        <v>251</v>
      </c>
      <c r="C1284" s="57" t="s">
        <v>237</v>
      </c>
      <c r="D1284" s="57" t="s">
        <v>152</v>
      </c>
      <c r="E1284" s="57" t="s">
        <v>149</v>
      </c>
      <c r="F1284">
        <v>10</v>
      </c>
      <c r="G1284">
        <v>7000</v>
      </c>
      <c r="H1284" s="11">
        <v>45395</v>
      </c>
      <c r="I1284" s="57" t="s">
        <v>89</v>
      </c>
      <c r="J1284" s="57" t="s">
        <v>147</v>
      </c>
      <c r="K1284" s="57" t="s">
        <v>253</v>
      </c>
      <c r="L1284" t="s">
        <v>243</v>
      </c>
    </row>
    <row r="1285" spans="1:12" x14ac:dyDescent="0.3">
      <c r="A1285" s="57" t="s">
        <v>1548</v>
      </c>
      <c r="B1285" s="57" t="s">
        <v>268</v>
      </c>
      <c r="C1285" s="57" t="s">
        <v>269</v>
      </c>
      <c r="D1285" s="57" t="s">
        <v>141</v>
      </c>
      <c r="E1285" s="57" t="s">
        <v>149</v>
      </c>
      <c r="F1285">
        <v>5</v>
      </c>
      <c r="G1285">
        <v>7000</v>
      </c>
      <c r="H1285" s="11">
        <v>45430</v>
      </c>
      <c r="I1285" s="57" t="s">
        <v>89</v>
      </c>
      <c r="J1285" s="57" t="s">
        <v>248</v>
      </c>
      <c r="K1285" s="57" t="s">
        <v>197</v>
      </c>
      <c r="L1285" t="s">
        <v>243</v>
      </c>
    </row>
    <row r="1286" spans="1:12" x14ac:dyDescent="0.3">
      <c r="A1286" s="57" t="s">
        <v>1549</v>
      </c>
      <c r="B1286" s="57" t="s">
        <v>195</v>
      </c>
      <c r="C1286" s="57" t="s">
        <v>196</v>
      </c>
      <c r="D1286" s="57" t="s">
        <v>146</v>
      </c>
      <c r="E1286" s="57" t="s">
        <v>256</v>
      </c>
      <c r="F1286">
        <v>7</v>
      </c>
      <c r="G1286">
        <v>7000</v>
      </c>
      <c r="H1286" s="11">
        <v>45348</v>
      </c>
      <c r="I1286" s="57" t="s">
        <v>92</v>
      </c>
      <c r="J1286" s="57" t="s">
        <v>143</v>
      </c>
      <c r="K1286" s="57" t="s">
        <v>239</v>
      </c>
      <c r="L1286" t="s">
        <v>243</v>
      </c>
    </row>
    <row r="1287" spans="1:12" x14ac:dyDescent="0.3">
      <c r="A1287" s="57" t="s">
        <v>1550</v>
      </c>
      <c r="B1287" s="57" t="s">
        <v>273</v>
      </c>
      <c r="C1287" s="57" t="s">
        <v>237</v>
      </c>
      <c r="D1287" s="57" t="s">
        <v>141</v>
      </c>
      <c r="E1287" s="57" t="s">
        <v>260</v>
      </c>
      <c r="F1287">
        <v>0</v>
      </c>
      <c r="G1287">
        <v>7000</v>
      </c>
      <c r="H1287" s="11">
        <v>44998</v>
      </c>
      <c r="I1287" s="57" t="s">
        <v>92</v>
      </c>
      <c r="J1287" s="57" t="s">
        <v>147</v>
      </c>
      <c r="K1287" s="57" t="s">
        <v>239</v>
      </c>
      <c r="L1287" t="s">
        <v>243</v>
      </c>
    </row>
    <row r="1288" spans="1:12" x14ac:dyDescent="0.3">
      <c r="A1288" s="57" t="s">
        <v>1551</v>
      </c>
      <c r="B1288" s="57" t="s">
        <v>247</v>
      </c>
      <c r="C1288" s="57" t="s">
        <v>237</v>
      </c>
      <c r="D1288" s="57" t="s">
        <v>238</v>
      </c>
      <c r="E1288" s="57" t="s">
        <v>256</v>
      </c>
      <c r="F1288">
        <v>3</v>
      </c>
      <c r="G1288">
        <v>7000</v>
      </c>
      <c r="H1288" s="11">
        <v>45614</v>
      </c>
      <c r="I1288" s="57" t="s">
        <v>95</v>
      </c>
      <c r="J1288" s="57" t="s">
        <v>145</v>
      </c>
      <c r="K1288" s="57" t="s">
        <v>238</v>
      </c>
      <c r="L1288" t="s">
        <v>243</v>
      </c>
    </row>
    <row r="1289" spans="1:12" x14ac:dyDescent="0.3">
      <c r="A1289" s="57" t="s">
        <v>1552</v>
      </c>
      <c r="B1289" s="57" t="s">
        <v>268</v>
      </c>
      <c r="C1289" s="57" t="s">
        <v>269</v>
      </c>
      <c r="D1289" s="57" t="s">
        <v>238</v>
      </c>
      <c r="E1289" s="57" t="s">
        <v>142</v>
      </c>
      <c r="F1289">
        <v>10</v>
      </c>
      <c r="G1289">
        <v>7000</v>
      </c>
      <c r="H1289" s="11">
        <v>45563</v>
      </c>
      <c r="I1289" s="57" t="s">
        <v>242</v>
      </c>
      <c r="J1289" s="57" t="s">
        <v>150</v>
      </c>
      <c r="K1289" s="57" t="s">
        <v>239</v>
      </c>
      <c r="L1289" t="s">
        <v>243</v>
      </c>
    </row>
    <row r="1290" spans="1:12" x14ac:dyDescent="0.3">
      <c r="A1290" s="57" t="s">
        <v>1553</v>
      </c>
      <c r="B1290" s="57" t="s">
        <v>236</v>
      </c>
      <c r="C1290" s="57" t="s">
        <v>237</v>
      </c>
      <c r="D1290" s="57" t="s">
        <v>238</v>
      </c>
      <c r="E1290" s="57" t="s">
        <v>149</v>
      </c>
      <c r="F1290">
        <v>7</v>
      </c>
      <c r="G1290">
        <v>7000</v>
      </c>
      <c r="H1290" s="11">
        <v>45618</v>
      </c>
      <c r="I1290" s="57" t="s">
        <v>89</v>
      </c>
      <c r="J1290" s="57" t="s">
        <v>145</v>
      </c>
      <c r="K1290" s="57" t="s">
        <v>249</v>
      </c>
      <c r="L1290" t="s">
        <v>243</v>
      </c>
    </row>
    <row r="1291" spans="1:12" x14ac:dyDescent="0.3">
      <c r="A1291" s="57" t="s">
        <v>1554</v>
      </c>
      <c r="B1291" s="57" t="s">
        <v>273</v>
      </c>
      <c r="C1291" s="57" t="s">
        <v>237</v>
      </c>
      <c r="D1291" s="57" t="s">
        <v>153</v>
      </c>
      <c r="E1291" s="57" t="s">
        <v>142</v>
      </c>
      <c r="F1291">
        <v>7</v>
      </c>
      <c r="G1291">
        <v>5900</v>
      </c>
      <c r="H1291" s="11">
        <v>45239</v>
      </c>
      <c r="I1291" s="57" t="s">
        <v>100</v>
      </c>
      <c r="J1291" s="57" t="s">
        <v>145</v>
      </c>
      <c r="K1291" s="57" t="s">
        <v>197</v>
      </c>
      <c r="L1291" t="s">
        <v>240</v>
      </c>
    </row>
    <row r="1292" spans="1:12" x14ac:dyDescent="0.3">
      <c r="A1292" s="57" t="s">
        <v>1555</v>
      </c>
      <c r="B1292" s="57" t="s">
        <v>268</v>
      </c>
      <c r="C1292" s="57" t="s">
        <v>269</v>
      </c>
      <c r="D1292" s="57" t="s">
        <v>238</v>
      </c>
      <c r="E1292" s="57" t="s">
        <v>260</v>
      </c>
      <c r="F1292">
        <v>4</v>
      </c>
      <c r="G1292">
        <v>7000</v>
      </c>
      <c r="H1292" s="11">
        <v>45385</v>
      </c>
      <c r="I1292" s="57" t="s">
        <v>257</v>
      </c>
      <c r="J1292" s="57" t="s">
        <v>145</v>
      </c>
      <c r="K1292" s="57" t="s">
        <v>197</v>
      </c>
      <c r="L1292" t="s">
        <v>243</v>
      </c>
    </row>
    <row r="1293" spans="1:12" x14ac:dyDescent="0.3">
      <c r="A1293" s="57" t="s">
        <v>1556</v>
      </c>
      <c r="B1293" s="57" t="s">
        <v>273</v>
      </c>
      <c r="C1293" s="57" t="s">
        <v>237</v>
      </c>
      <c r="D1293" s="57" t="s">
        <v>153</v>
      </c>
      <c r="E1293" s="57" t="s">
        <v>252</v>
      </c>
      <c r="F1293">
        <v>10</v>
      </c>
      <c r="G1293">
        <v>7000</v>
      </c>
      <c r="H1293" s="11">
        <v>45422</v>
      </c>
      <c r="I1293" s="57" t="s">
        <v>291</v>
      </c>
      <c r="J1293" s="57" t="s">
        <v>145</v>
      </c>
      <c r="K1293" s="57" t="s">
        <v>197</v>
      </c>
      <c r="L1293" t="s">
        <v>243</v>
      </c>
    </row>
    <row r="1294" spans="1:12" x14ac:dyDescent="0.3">
      <c r="A1294" s="57" t="s">
        <v>1557</v>
      </c>
      <c r="B1294" s="57" t="s">
        <v>195</v>
      </c>
      <c r="C1294" s="57" t="s">
        <v>196</v>
      </c>
      <c r="D1294" s="57" t="s">
        <v>151</v>
      </c>
      <c r="E1294" s="57" t="s">
        <v>256</v>
      </c>
      <c r="F1294">
        <v>5</v>
      </c>
      <c r="G1294">
        <v>7000</v>
      </c>
      <c r="H1294" s="11">
        <v>45248</v>
      </c>
      <c r="I1294" s="57" t="s">
        <v>95</v>
      </c>
      <c r="J1294" s="57" t="s">
        <v>150</v>
      </c>
      <c r="K1294" s="57" t="s">
        <v>197</v>
      </c>
      <c r="L1294" t="s">
        <v>243</v>
      </c>
    </row>
    <row r="1295" spans="1:12" x14ac:dyDescent="0.3">
      <c r="A1295" s="57" t="s">
        <v>1558</v>
      </c>
      <c r="B1295" s="57" t="s">
        <v>275</v>
      </c>
      <c r="C1295" s="57" t="s">
        <v>276</v>
      </c>
      <c r="D1295" s="57" t="s">
        <v>152</v>
      </c>
      <c r="E1295" s="57" t="s">
        <v>256</v>
      </c>
      <c r="F1295">
        <v>0</v>
      </c>
      <c r="G1295">
        <v>7000</v>
      </c>
      <c r="H1295" s="11">
        <v>45222</v>
      </c>
      <c r="I1295" s="57" t="s">
        <v>257</v>
      </c>
      <c r="J1295" s="57" t="s">
        <v>248</v>
      </c>
      <c r="K1295" s="57" t="s">
        <v>239</v>
      </c>
      <c r="L1295" t="s">
        <v>243</v>
      </c>
    </row>
    <row r="1296" spans="1:12" x14ac:dyDescent="0.3">
      <c r="A1296" s="57" t="s">
        <v>1559</v>
      </c>
      <c r="B1296" s="57" t="s">
        <v>268</v>
      </c>
      <c r="C1296" s="57" t="s">
        <v>269</v>
      </c>
      <c r="D1296" s="57" t="s">
        <v>141</v>
      </c>
      <c r="E1296" s="57" t="s">
        <v>252</v>
      </c>
      <c r="F1296">
        <v>7</v>
      </c>
      <c r="G1296">
        <v>2059</v>
      </c>
      <c r="H1296" s="11">
        <v>45276</v>
      </c>
      <c r="I1296" s="57" t="s">
        <v>95</v>
      </c>
      <c r="J1296" s="57" t="s">
        <v>248</v>
      </c>
      <c r="K1296" s="57" t="s">
        <v>238</v>
      </c>
      <c r="L1296" t="s">
        <v>258</v>
      </c>
    </row>
    <row r="1297" spans="1:12" x14ac:dyDescent="0.3">
      <c r="A1297" s="57" t="s">
        <v>1560</v>
      </c>
      <c r="B1297" s="57" t="s">
        <v>195</v>
      </c>
      <c r="C1297" s="57" t="s">
        <v>196</v>
      </c>
      <c r="D1297" s="57" t="s">
        <v>153</v>
      </c>
      <c r="E1297" s="57" t="s">
        <v>256</v>
      </c>
      <c r="F1297">
        <v>5</v>
      </c>
      <c r="G1297">
        <v>5900</v>
      </c>
      <c r="H1297" s="11">
        <v>45123</v>
      </c>
      <c r="I1297" s="57" t="s">
        <v>95</v>
      </c>
      <c r="J1297" s="57" t="s">
        <v>248</v>
      </c>
      <c r="K1297" s="57" t="s">
        <v>197</v>
      </c>
      <c r="L1297" t="s">
        <v>240</v>
      </c>
    </row>
    <row r="1298" spans="1:12" x14ac:dyDescent="0.3">
      <c r="A1298" s="57" t="s">
        <v>1561</v>
      </c>
      <c r="B1298" s="57" t="s">
        <v>262</v>
      </c>
      <c r="C1298" s="57" t="s">
        <v>263</v>
      </c>
      <c r="D1298" s="57" t="s">
        <v>238</v>
      </c>
      <c r="E1298" s="57" t="s">
        <v>256</v>
      </c>
      <c r="F1298">
        <v>5</v>
      </c>
      <c r="G1298">
        <v>2429</v>
      </c>
      <c r="H1298" s="11">
        <v>45353</v>
      </c>
      <c r="I1298" s="57" t="s">
        <v>100</v>
      </c>
      <c r="J1298" s="57" t="s">
        <v>145</v>
      </c>
      <c r="K1298" s="57" t="s">
        <v>253</v>
      </c>
      <c r="L1298" t="s">
        <v>258</v>
      </c>
    </row>
    <row r="1299" spans="1:12" x14ac:dyDescent="0.3">
      <c r="A1299" s="57" t="s">
        <v>1562</v>
      </c>
      <c r="B1299" s="57" t="s">
        <v>262</v>
      </c>
      <c r="C1299" s="57" t="s">
        <v>263</v>
      </c>
      <c r="D1299" s="57" t="s">
        <v>238</v>
      </c>
      <c r="E1299" s="57" t="s">
        <v>260</v>
      </c>
      <c r="F1299">
        <v>7</v>
      </c>
      <c r="G1299">
        <v>5900</v>
      </c>
      <c r="H1299" s="11">
        <v>45246</v>
      </c>
      <c r="I1299" s="57" t="s">
        <v>89</v>
      </c>
      <c r="J1299" s="57" t="s">
        <v>150</v>
      </c>
      <c r="K1299" s="57" t="s">
        <v>239</v>
      </c>
      <c r="L1299" t="s">
        <v>240</v>
      </c>
    </row>
    <row r="1300" spans="1:12" x14ac:dyDescent="0.3">
      <c r="A1300" s="57" t="s">
        <v>1563</v>
      </c>
      <c r="B1300" s="57" t="s">
        <v>275</v>
      </c>
      <c r="C1300" s="57" t="s">
        <v>276</v>
      </c>
      <c r="D1300" s="57" t="s">
        <v>144</v>
      </c>
      <c r="E1300" s="57" t="s">
        <v>256</v>
      </c>
      <c r="F1300">
        <v>7</v>
      </c>
      <c r="G1300">
        <v>7000</v>
      </c>
      <c r="H1300" s="11">
        <v>45332</v>
      </c>
      <c r="I1300" s="57" t="s">
        <v>242</v>
      </c>
      <c r="J1300" s="57" t="s">
        <v>145</v>
      </c>
      <c r="K1300" s="57" t="s">
        <v>239</v>
      </c>
      <c r="L1300" t="s">
        <v>243</v>
      </c>
    </row>
    <row r="1301" spans="1:12" x14ac:dyDescent="0.3">
      <c r="A1301" s="57" t="s">
        <v>1564</v>
      </c>
      <c r="B1301" s="57" t="s">
        <v>268</v>
      </c>
      <c r="C1301" s="57" t="s">
        <v>269</v>
      </c>
      <c r="D1301" s="57" t="s">
        <v>144</v>
      </c>
      <c r="E1301" s="57" t="s">
        <v>252</v>
      </c>
      <c r="F1301">
        <v>10</v>
      </c>
      <c r="G1301">
        <v>7000</v>
      </c>
      <c r="H1301" s="11">
        <v>45083</v>
      </c>
      <c r="I1301" s="57" t="s">
        <v>100</v>
      </c>
      <c r="J1301" s="57" t="s">
        <v>143</v>
      </c>
      <c r="K1301" s="57" t="s">
        <v>249</v>
      </c>
      <c r="L1301" t="s">
        <v>243</v>
      </c>
    </row>
    <row r="1302" spans="1:12" x14ac:dyDescent="0.3">
      <c r="A1302" s="57" t="s">
        <v>1565</v>
      </c>
      <c r="B1302" s="57" t="s">
        <v>247</v>
      </c>
      <c r="C1302" s="57" t="s">
        <v>237</v>
      </c>
      <c r="D1302" s="57" t="s">
        <v>152</v>
      </c>
      <c r="E1302" s="57" t="s">
        <v>149</v>
      </c>
      <c r="F1302">
        <v>1</v>
      </c>
      <c r="G1302">
        <v>7000</v>
      </c>
      <c r="H1302" s="11">
        <v>45577</v>
      </c>
      <c r="I1302" s="57" t="s">
        <v>92</v>
      </c>
      <c r="J1302" s="57" t="s">
        <v>145</v>
      </c>
      <c r="K1302" s="57" t="s">
        <v>238</v>
      </c>
      <c r="L1302" t="s">
        <v>243</v>
      </c>
    </row>
    <row r="1303" spans="1:12" x14ac:dyDescent="0.3">
      <c r="A1303" s="57" t="s">
        <v>1566</v>
      </c>
      <c r="B1303" s="57" t="s">
        <v>268</v>
      </c>
      <c r="C1303" s="57" t="s">
        <v>269</v>
      </c>
      <c r="D1303" s="57" t="s">
        <v>238</v>
      </c>
      <c r="E1303" s="57" t="s">
        <v>260</v>
      </c>
      <c r="F1303">
        <v>8</v>
      </c>
      <c r="G1303">
        <v>4549</v>
      </c>
      <c r="H1303" s="11">
        <v>45288</v>
      </c>
      <c r="I1303" s="57" t="s">
        <v>92</v>
      </c>
      <c r="J1303" s="57" t="s">
        <v>150</v>
      </c>
      <c r="K1303" s="57" t="s">
        <v>239</v>
      </c>
      <c r="L1303" t="s">
        <v>240</v>
      </c>
    </row>
    <row r="1304" spans="1:12" x14ac:dyDescent="0.3">
      <c r="A1304" s="57" t="s">
        <v>1567</v>
      </c>
      <c r="B1304" s="57" t="s">
        <v>268</v>
      </c>
      <c r="C1304" s="57" t="s">
        <v>269</v>
      </c>
      <c r="D1304" s="57" t="s">
        <v>153</v>
      </c>
      <c r="E1304" s="57" t="s">
        <v>260</v>
      </c>
      <c r="F1304">
        <v>2</v>
      </c>
      <c r="G1304">
        <v>7000</v>
      </c>
      <c r="H1304" s="11">
        <v>45064</v>
      </c>
      <c r="I1304" s="57" t="s">
        <v>92</v>
      </c>
      <c r="J1304" s="57" t="s">
        <v>145</v>
      </c>
      <c r="K1304" s="57" t="s">
        <v>253</v>
      </c>
      <c r="L1304" t="s">
        <v>243</v>
      </c>
    </row>
    <row r="1305" spans="1:12" x14ac:dyDescent="0.3">
      <c r="A1305" s="57" t="s">
        <v>1568</v>
      </c>
      <c r="B1305" s="57" t="s">
        <v>255</v>
      </c>
      <c r="C1305" s="57" t="s">
        <v>237</v>
      </c>
      <c r="D1305" s="57" t="s">
        <v>148</v>
      </c>
      <c r="E1305" s="57" t="s">
        <v>149</v>
      </c>
      <c r="F1305">
        <v>7</v>
      </c>
      <c r="G1305">
        <v>7000</v>
      </c>
      <c r="H1305" s="11">
        <v>45471</v>
      </c>
      <c r="I1305" s="57" t="s">
        <v>95</v>
      </c>
      <c r="J1305" s="57" t="s">
        <v>248</v>
      </c>
      <c r="K1305" s="57" t="s">
        <v>197</v>
      </c>
      <c r="L1305" t="s">
        <v>243</v>
      </c>
    </row>
    <row r="1306" spans="1:12" x14ac:dyDescent="0.3">
      <c r="A1306" s="57" t="s">
        <v>1569</v>
      </c>
      <c r="B1306" s="57" t="s">
        <v>255</v>
      </c>
      <c r="C1306" s="57" t="s">
        <v>237</v>
      </c>
      <c r="D1306" s="57" t="s">
        <v>146</v>
      </c>
      <c r="E1306" s="57" t="s">
        <v>252</v>
      </c>
      <c r="F1306">
        <v>10</v>
      </c>
      <c r="G1306">
        <v>2517</v>
      </c>
      <c r="H1306" s="11">
        <v>45390</v>
      </c>
      <c r="I1306" s="57" t="s">
        <v>257</v>
      </c>
      <c r="J1306" s="57" t="s">
        <v>143</v>
      </c>
      <c r="K1306" s="57" t="s">
        <v>264</v>
      </c>
      <c r="L1306" t="s">
        <v>258</v>
      </c>
    </row>
    <row r="1307" spans="1:12" x14ac:dyDescent="0.3">
      <c r="A1307" s="57" t="s">
        <v>1570</v>
      </c>
      <c r="B1307" s="57" t="s">
        <v>251</v>
      </c>
      <c r="C1307" s="57" t="s">
        <v>237</v>
      </c>
      <c r="D1307" s="57" t="s">
        <v>238</v>
      </c>
      <c r="E1307" s="57" t="s">
        <v>256</v>
      </c>
      <c r="F1307">
        <v>10</v>
      </c>
      <c r="G1307">
        <v>7000</v>
      </c>
      <c r="H1307" s="11">
        <v>45511</v>
      </c>
      <c r="I1307" s="57" t="s">
        <v>95</v>
      </c>
      <c r="J1307" s="57" t="s">
        <v>150</v>
      </c>
      <c r="K1307" s="57" t="s">
        <v>264</v>
      </c>
      <c r="L1307" t="s">
        <v>243</v>
      </c>
    </row>
    <row r="1308" spans="1:12" x14ac:dyDescent="0.3">
      <c r="A1308" s="57" t="s">
        <v>1571</v>
      </c>
      <c r="B1308" s="57" t="s">
        <v>236</v>
      </c>
      <c r="C1308" s="57" t="s">
        <v>237</v>
      </c>
      <c r="D1308" s="57" t="s">
        <v>151</v>
      </c>
      <c r="E1308" s="57" t="s">
        <v>260</v>
      </c>
      <c r="F1308">
        <v>10</v>
      </c>
      <c r="G1308">
        <v>5900</v>
      </c>
      <c r="H1308" s="11">
        <v>45286</v>
      </c>
      <c r="I1308" s="57" t="s">
        <v>266</v>
      </c>
      <c r="J1308" s="57" t="s">
        <v>147</v>
      </c>
      <c r="K1308" s="57" t="s">
        <v>238</v>
      </c>
      <c r="L1308" t="s">
        <v>240</v>
      </c>
    </row>
    <row r="1309" spans="1:12" x14ac:dyDescent="0.3">
      <c r="A1309" s="57" t="s">
        <v>1572</v>
      </c>
      <c r="B1309" s="57" t="s">
        <v>245</v>
      </c>
      <c r="C1309" s="57" t="s">
        <v>237</v>
      </c>
      <c r="D1309" s="57" t="s">
        <v>141</v>
      </c>
      <c r="E1309" s="57" t="s">
        <v>142</v>
      </c>
      <c r="F1309">
        <v>10</v>
      </c>
      <c r="G1309">
        <v>7000</v>
      </c>
      <c r="H1309" s="11">
        <v>45573</v>
      </c>
      <c r="I1309" s="57" t="s">
        <v>242</v>
      </c>
      <c r="J1309" s="57" t="s">
        <v>145</v>
      </c>
      <c r="K1309" s="57" t="s">
        <v>264</v>
      </c>
      <c r="L1309" t="s">
        <v>243</v>
      </c>
    </row>
    <row r="1310" spans="1:12" x14ac:dyDescent="0.3">
      <c r="A1310" s="57" t="s">
        <v>1573</v>
      </c>
      <c r="B1310" s="57" t="s">
        <v>273</v>
      </c>
      <c r="C1310" s="57" t="s">
        <v>237</v>
      </c>
      <c r="D1310" s="57" t="s">
        <v>148</v>
      </c>
      <c r="E1310" s="57" t="s">
        <v>256</v>
      </c>
      <c r="F1310">
        <v>5</v>
      </c>
      <c r="G1310">
        <v>5900</v>
      </c>
      <c r="H1310" s="11">
        <v>45053</v>
      </c>
      <c r="I1310" s="57" t="s">
        <v>95</v>
      </c>
      <c r="J1310" s="57" t="s">
        <v>147</v>
      </c>
      <c r="K1310" s="57" t="s">
        <v>239</v>
      </c>
      <c r="L1310" t="s">
        <v>240</v>
      </c>
    </row>
    <row r="1311" spans="1:12" x14ac:dyDescent="0.3">
      <c r="A1311" s="57" t="s">
        <v>1574</v>
      </c>
      <c r="B1311" s="57" t="s">
        <v>273</v>
      </c>
      <c r="C1311" s="57" t="s">
        <v>237</v>
      </c>
      <c r="D1311" s="57" t="s">
        <v>151</v>
      </c>
      <c r="E1311" s="57" t="s">
        <v>149</v>
      </c>
      <c r="F1311">
        <v>7</v>
      </c>
      <c r="G1311">
        <v>7000</v>
      </c>
      <c r="H1311" s="11">
        <v>45417</v>
      </c>
      <c r="I1311" s="57" t="s">
        <v>266</v>
      </c>
      <c r="J1311" s="57" t="s">
        <v>248</v>
      </c>
      <c r="K1311" s="57" t="s">
        <v>197</v>
      </c>
      <c r="L1311" t="s">
        <v>243</v>
      </c>
    </row>
    <row r="1312" spans="1:12" x14ac:dyDescent="0.3">
      <c r="A1312" s="57" t="s">
        <v>1575</v>
      </c>
      <c r="B1312" s="57" t="s">
        <v>236</v>
      </c>
      <c r="C1312" s="57" t="s">
        <v>237</v>
      </c>
      <c r="D1312" s="57" t="s">
        <v>152</v>
      </c>
      <c r="E1312" s="57" t="s">
        <v>142</v>
      </c>
      <c r="F1312">
        <v>10</v>
      </c>
      <c r="G1312">
        <v>7000</v>
      </c>
      <c r="H1312" s="11">
        <v>45511</v>
      </c>
      <c r="I1312" s="57" t="s">
        <v>291</v>
      </c>
      <c r="J1312" s="57" t="s">
        <v>147</v>
      </c>
      <c r="K1312" s="57" t="s">
        <v>238</v>
      </c>
      <c r="L1312" t="s">
        <v>243</v>
      </c>
    </row>
    <row r="1313" spans="1:12" x14ac:dyDescent="0.3">
      <c r="A1313" s="57" t="s">
        <v>1576</v>
      </c>
      <c r="B1313" s="57" t="s">
        <v>268</v>
      </c>
      <c r="C1313" s="57" t="s">
        <v>269</v>
      </c>
      <c r="D1313" s="57" t="s">
        <v>148</v>
      </c>
      <c r="E1313" s="57" t="s">
        <v>252</v>
      </c>
      <c r="F1313">
        <v>0</v>
      </c>
      <c r="G1313">
        <v>7000</v>
      </c>
      <c r="H1313" s="11">
        <v>45436</v>
      </c>
      <c r="I1313" s="57" t="s">
        <v>95</v>
      </c>
      <c r="J1313" s="57" t="s">
        <v>150</v>
      </c>
      <c r="K1313" s="57" t="s">
        <v>264</v>
      </c>
      <c r="L1313" t="s">
        <v>243</v>
      </c>
    </row>
    <row r="1314" spans="1:12" x14ac:dyDescent="0.3">
      <c r="A1314" s="57" t="s">
        <v>1577</v>
      </c>
      <c r="B1314" s="57" t="s">
        <v>262</v>
      </c>
      <c r="C1314" s="57" t="s">
        <v>263</v>
      </c>
      <c r="D1314" s="57" t="s">
        <v>151</v>
      </c>
      <c r="E1314" s="57" t="s">
        <v>142</v>
      </c>
      <c r="F1314">
        <v>2</v>
      </c>
      <c r="G1314">
        <v>5900</v>
      </c>
      <c r="H1314" s="11">
        <v>45226</v>
      </c>
      <c r="I1314" s="57" t="s">
        <v>89</v>
      </c>
      <c r="J1314" s="57" t="s">
        <v>150</v>
      </c>
      <c r="K1314" s="57" t="s">
        <v>238</v>
      </c>
      <c r="L1314" t="s">
        <v>240</v>
      </c>
    </row>
    <row r="1315" spans="1:12" x14ac:dyDescent="0.3">
      <c r="A1315" s="57" t="s">
        <v>1578</v>
      </c>
      <c r="B1315" s="57" t="s">
        <v>268</v>
      </c>
      <c r="C1315" s="57" t="s">
        <v>269</v>
      </c>
      <c r="D1315" s="57" t="s">
        <v>238</v>
      </c>
      <c r="E1315" s="57" t="s">
        <v>149</v>
      </c>
      <c r="F1315">
        <v>5</v>
      </c>
      <c r="G1315">
        <v>7000</v>
      </c>
      <c r="H1315" s="11">
        <v>45616</v>
      </c>
      <c r="I1315" s="57" t="s">
        <v>257</v>
      </c>
      <c r="J1315" s="57" t="s">
        <v>150</v>
      </c>
      <c r="K1315" s="57" t="s">
        <v>239</v>
      </c>
      <c r="L1315" t="s">
        <v>243</v>
      </c>
    </row>
    <row r="1316" spans="1:12" x14ac:dyDescent="0.3">
      <c r="A1316" s="57" t="s">
        <v>1579</v>
      </c>
      <c r="B1316" s="57" t="s">
        <v>255</v>
      </c>
      <c r="C1316" s="57" t="s">
        <v>237</v>
      </c>
      <c r="D1316" s="57" t="s">
        <v>151</v>
      </c>
      <c r="E1316" s="57" t="s">
        <v>142</v>
      </c>
      <c r="F1316">
        <v>10</v>
      </c>
      <c r="G1316">
        <v>7000</v>
      </c>
      <c r="H1316" s="11">
        <v>45621</v>
      </c>
      <c r="I1316" s="57" t="s">
        <v>291</v>
      </c>
      <c r="J1316" s="57" t="s">
        <v>150</v>
      </c>
      <c r="K1316" s="57" t="s">
        <v>264</v>
      </c>
      <c r="L1316" t="s">
        <v>243</v>
      </c>
    </row>
    <row r="1317" spans="1:12" x14ac:dyDescent="0.3">
      <c r="A1317" s="57" t="s">
        <v>1580</v>
      </c>
      <c r="B1317" s="57" t="s">
        <v>275</v>
      </c>
      <c r="C1317" s="57" t="s">
        <v>276</v>
      </c>
      <c r="D1317" s="57" t="s">
        <v>152</v>
      </c>
      <c r="E1317" s="57" t="s">
        <v>149</v>
      </c>
      <c r="F1317">
        <v>0</v>
      </c>
      <c r="G1317">
        <v>2772</v>
      </c>
      <c r="H1317" s="11">
        <v>45594</v>
      </c>
      <c r="I1317" s="57" t="s">
        <v>266</v>
      </c>
      <c r="J1317" s="57" t="s">
        <v>150</v>
      </c>
      <c r="K1317" s="57" t="s">
        <v>239</v>
      </c>
      <c r="L1317" t="s">
        <v>258</v>
      </c>
    </row>
    <row r="1318" spans="1:12" x14ac:dyDescent="0.3">
      <c r="A1318" s="57" t="s">
        <v>1581</v>
      </c>
      <c r="B1318" s="57" t="s">
        <v>251</v>
      </c>
      <c r="C1318" s="57" t="s">
        <v>237</v>
      </c>
      <c r="D1318" s="57" t="s">
        <v>152</v>
      </c>
      <c r="E1318" s="57" t="s">
        <v>252</v>
      </c>
      <c r="F1318">
        <v>0</v>
      </c>
      <c r="G1318">
        <v>7000</v>
      </c>
      <c r="H1318" s="11">
        <v>45518</v>
      </c>
      <c r="I1318" s="57" t="s">
        <v>291</v>
      </c>
      <c r="J1318" s="57" t="s">
        <v>147</v>
      </c>
      <c r="K1318" s="57" t="s">
        <v>238</v>
      </c>
      <c r="L1318" t="s">
        <v>243</v>
      </c>
    </row>
    <row r="1319" spans="1:12" x14ac:dyDescent="0.3">
      <c r="A1319" s="57" t="s">
        <v>1582</v>
      </c>
      <c r="B1319" s="57" t="s">
        <v>275</v>
      </c>
      <c r="C1319" s="57" t="s">
        <v>276</v>
      </c>
      <c r="D1319" s="57" t="s">
        <v>148</v>
      </c>
      <c r="E1319" s="57" t="s">
        <v>260</v>
      </c>
      <c r="F1319">
        <v>0</v>
      </c>
      <c r="G1319">
        <v>7000</v>
      </c>
      <c r="H1319" s="11">
        <v>45529</v>
      </c>
      <c r="I1319" s="57" t="s">
        <v>266</v>
      </c>
      <c r="J1319" s="57" t="s">
        <v>150</v>
      </c>
      <c r="K1319" s="57" t="s">
        <v>197</v>
      </c>
      <c r="L1319" t="s">
        <v>243</v>
      </c>
    </row>
    <row r="1320" spans="1:12" x14ac:dyDescent="0.3">
      <c r="A1320" s="57" t="s">
        <v>1583</v>
      </c>
      <c r="B1320" s="57" t="s">
        <v>268</v>
      </c>
      <c r="C1320" s="57" t="s">
        <v>269</v>
      </c>
      <c r="D1320" s="57" t="s">
        <v>238</v>
      </c>
      <c r="E1320" s="57" t="s">
        <v>256</v>
      </c>
      <c r="F1320">
        <v>10</v>
      </c>
      <c r="G1320">
        <v>7000</v>
      </c>
      <c r="H1320" s="11">
        <v>45483</v>
      </c>
      <c r="I1320" s="57" t="s">
        <v>242</v>
      </c>
      <c r="J1320" s="57" t="s">
        <v>145</v>
      </c>
      <c r="K1320" s="57" t="s">
        <v>197</v>
      </c>
      <c r="L1320" t="s">
        <v>243</v>
      </c>
    </row>
    <row r="1321" spans="1:12" x14ac:dyDescent="0.3">
      <c r="A1321" s="57" t="s">
        <v>1584</v>
      </c>
      <c r="B1321" s="57" t="s">
        <v>236</v>
      </c>
      <c r="C1321" s="57" t="s">
        <v>237</v>
      </c>
      <c r="D1321" s="57" t="s">
        <v>146</v>
      </c>
      <c r="E1321" s="57" t="s">
        <v>142</v>
      </c>
      <c r="F1321">
        <v>7</v>
      </c>
      <c r="G1321">
        <v>7000</v>
      </c>
      <c r="H1321" s="11">
        <v>45109</v>
      </c>
      <c r="I1321" s="57" t="s">
        <v>242</v>
      </c>
      <c r="J1321" s="57" t="s">
        <v>143</v>
      </c>
      <c r="K1321" s="57" t="s">
        <v>238</v>
      </c>
      <c r="L1321" t="s">
        <v>243</v>
      </c>
    </row>
    <row r="1322" spans="1:12" x14ac:dyDescent="0.3">
      <c r="A1322" s="57" t="s">
        <v>1585</v>
      </c>
      <c r="B1322" s="57" t="s">
        <v>268</v>
      </c>
      <c r="C1322" s="57" t="s">
        <v>269</v>
      </c>
      <c r="D1322" s="57" t="s">
        <v>144</v>
      </c>
      <c r="E1322" s="57" t="s">
        <v>260</v>
      </c>
      <c r="F1322">
        <v>10</v>
      </c>
      <c r="G1322">
        <v>7000</v>
      </c>
      <c r="H1322" s="11">
        <v>45496</v>
      </c>
      <c r="I1322" s="57" t="s">
        <v>92</v>
      </c>
      <c r="J1322" s="57" t="s">
        <v>147</v>
      </c>
      <c r="K1322" s="57" t="s">
        <v>197</v>
      </c>
      <c r="L1322" t="s">
        <v>243</v>
      </c>
    </row>
    <row r="1323" spans="1:12" x14ac:dyDescent="0.3">
      <c r="A1323" s="57" t="s">
        <v>1586</v>
      </c>
      <c r="B1323" s="57" t="s">
        <v>247</v>
      </c>
      <c r="C1323" s="57" t="s">
        <v>237</v>
      </c>
      <c r="D1323" s="57" t="s">
        <v>238</v>
      </c>
      <c r="E1323" s="57" t="s">
        <v>256</v>
      </c>
      <c r="F1323">
        <v>7</v>
      </c>
      <c r="G1323">
        <v>7000</v>
      </c>
      <c r="H1323" s="11">
        <v>45041</v>
      </c>
      <c r="I1323" s="57" t="s">
        <v>242</v>
      </c>
      <c r="J1323" s="57" t="s">
        <v>143</v>
      </c>
      <c r="K1323" s="57" t="s">
        <v>238</v>
      </c>
      <c r="L1323" t="s">
        <v>243</v>
      </c>
    </row>
    <row r="1324" spans="1:12" x14ac:dyDescent="0.3">
      <c r="A1324" s="57" t="s">
        <v>1587</v>
      </c>
      <c r="B1324" s="57" t="s">
        <v>268</v>
      </c>
      <c r="C1324" s="57" t="s">
        <v>269</v>
      </c>
      <c r="D1324" s="57" t="s">
        <v>146</v>
      </c>
      <c r="E1324" s="57" t="s">
        <v>252</v>
      </c>
      <c r="F1324">
        <v>7</v>
      </c>
      <c r="G1324">
        <v>5900</v>
      </c>
      <c r="H1324" s="11">
        <v>45451</v>
      </c>
      <c r="I1324" s="57" t="s">
        <v>92</v>
      </c>
      <c r="J1324" s="57" t="s">
        <v>150</v>
      </c>
      <c r="K1324" s="57" t="s">
        <v>253</v>
      </c>
      <c r="L1324" t="s">
        <v>240</v>
      </c>
    </row>
    <row r="1325" spans="1:12" x14ac:dyDescent="0.3">
      <c r="A1325" s="57" t="s">
        <v>1588</v>
      </c>
      <c r="B1325" s="57" t="s">
        <v>268</v>
      </c>
      <c r="C1325" s="57" t="s">
        <v>269</v>
      </c>
      <c r="D1325" s="57" t="s">
        <v>151</v>
      </c>
      <c r="E1325" s="57" t="s">
        <v>256</v>
      </c>
      <c r="F1325">
        <v>10</v>
      </c>
      <c r="G1325">
        <v>7000</v>
      </c>
      <c r="H1325" s="11">
        <v>45464</v>
      </c>
      <c r="I1325" s="57" t="s">
        <v>100</v>
      </c>
      <c r="J1325" s="57" t="s">
        <v>143</v>
      </c>
      <c r="K1325" s="57" t="s">
        <v>238</v>
      </c>
      <c r="L1325" t="s">
        <v>243</v>
      </c>
    </row>
    <row r="1326" spans="1:12" x14ac:dyDescent="0.3">
      <c r="A1326" s="57" t="s">
        <v>1589</v>
      </c>
      <c r="B1326" s="57" t="s">
        <v>251</v>
      </c>
      <c r="C1326" s="57" t="s">
        <v>237</v>
      </c>
      <c r="D1326" s="57" t="s">
        <v>238</v>
      </c>
      <c r="E1326" s="57" t="s">
        <v>260</v>
      </c>
      <c r="F1326">
        <v>5</v>
      </c>
      <c r="G1326">
        <v>7000</v>
      </c>
      <c r="H1326" s="11">
        <v>45593</v>
      </c>
      <c r="I1326" s="57" t="s">
        <v>291</v>
      </c>
      <c r="J1326" s="57" t="s">
        <v>147</v>
      </c>
      <c r="K1326" s="57" t="s">
        <v>238</v>
      </c>
      <c r="L1326" t="s">
        <v>243</v>
      </c>
    </row>
    <row r="1327" spans="1:12" x14ac:dyDescent="0.3">
      <c r="A1327" s="57" t="s">
        <v>1590</v>
      </c>
      <c r="B1327" s="57" t="s">
        <v>255</v>
      </c>
      <c r="C1327" s="57" t="s">
        <v>237</v>
      </c>
      <c r="D1327" s="57" t="s">
        <v>141</v>
      </c>
      <c r="E1327" s="57" t="s">
        <v>142</v>
      </c>
      <c r="F1327">
        <v>4</v>
      </c>
      <c r="G1327">
        <v>7000</v>
      </c>
      <c r="H1327" s="11">
        <v>45576</v>
      </c>
      <c r="I1327" s="57" t="s">
        <v>92</v>
      </c>
      <c r="J1327" s="57" t="s">
        <v>150</v>
      </c>
      <c r="K1327" s="57" t="s">
        <v>238</v>
      </c>
      <c r="L1327" t="s">
        <v>243</v>
      </c>
    </row>
    <row r="1328" spans="1:12" x14ac:dyDescent="0.3">
      <c r="A1328" s="57" t="s">
        <v>1591</v>
      </c>
      <c r="B1328" s="57" t="s">
        <v>251</v>
      </c>
      <c r="C1328" s="57" t="s">
        <v>237</v>
      </c>
      <c r="D1328" s="57" t="s">
        <v>146</v>
      </c>
      <c r="E1328" s="57" t="s">
        <v>260</v>
      </c>
      <c r="F1328">
        <v>0</v>
      </c>
      <c r="G1328">
        <v>4477</v>
      </c>
      <c r="H1328" s="11">
        <v>45524</v>
      </c>
      <c r="I1328" s="57" t="s">
        <v>100</v>
      </c>
      <c r="J1328" s="57" t="s">
        <v>147</v>
      </c>
      <c r="K1328" s="57" t="s">
        <v>264</v>
      </c>
      <c r="L1328" t="s">
        <v>240</v>
      </c>
    </row>
    <row r="1329" spans="1:12" x14ac:dyDescent="0.3">
      <c r="A1329" s="57" t="s">
        <v>1592</v>
      </c>
      <c r="B1329" s="57" t="s">
        <v>262</v>
      </c>
      <c r="C1329" s="57" t="s">
        <v>263</v>
      </c>
      <c r="D1329" s="57" t="s">
        <v>144</v>
      </c>
      <c r="E1329" s="57" t="s">
        <v>149</v>
      </c>
      <c r="F1329">
        <v>10</v>
      </c>
      <c r="G1329">
        <v>7000</v>
      </c>
      <c r="H1329" s="11">
        <v>45426</v>
      </c>
      <c r="I1329" s="57" t="s">
        <v>95</v>
      </c>
      <c r="J1329" s="57" t="s">
        <v>143</v>
      </c>
      <c r="K1329" s="57" t="s">
        <v>239</v>
      </c>
      <c r="L1329" t="s">
        <v>243</v>
      </c>
    </row>
    <row r="1330" spans="1:12" x14ac:dyDescent="0.3">
      <c r="A1330" s="57" t="s">
        <v>1593</v>
      </c>
      <c r="B1330" s="57" t="s">
        <v>245</v>
      </c>
      <c r="C1330" s="57" t="s">
        <v>237</v>
      </c>
      <c r="D1330" s="57" t="s">
        <v>238</v>
      </c>
      <c r="E1330" s="57" t="s">
        <v>260</v>
      </c>
      <c r="F1330">
        <v>7</v>
      </c>
      <c r="G1330">
        <v>7000</v>
      </c>
      <c r="H1330" s="11">
        <v>45451</v>
      </c>
      <c r="I1330" s="57" t="s">
        <v>242</v>
      </c>
      <c r="J1330" s="57" t="s">
        <v>143</v>
      </c>
      <c r="K1330" s="57" t="s">
        <v>249</v>
      </c>
      <c r="L1330" t="s">
        <v>243</v>
      </c>
    </row>
    <row r="1331" spans="1:12" x14ac:dyDescent="0.3">
      <c r="A1331" s="57" t="s">
        <v>1594</v>
      </c>
      <c r="B1331" s="57" t="s">
        <v>262</v>
      </c>
      <c r="C1331" s="57" t="s">
        <v>263</v>
      </c>
      <c r="D1331" s="57" t="s">
        <v>238</v>
      </c>
      <c r="E1331" s="57" t="s">
        <v>256</v>
      </c>
      <c r="F1331">
        <v>1</v>
      </c>
      <c r="G1331">
        <v>112</v>
      </c>
      <c r="H1331" s="11">
        <v>45350</v>
      </c>
      <c r="I1331" s="57" t="s">
        <v>257</v>
      </c>
      <c r="J1331" s="57" t="s">
        <v>248</v>
      </c>
      <c r="K1331" s="57" t="s">
        <v>197</v>
      </c>
      <c r="L1331" t="s">
        <v>302</v>
      </c>
    </row>
    <row r="1332" spans="1:12" x14ac:dyDescent="0.3">
      <c r="A1332" s="57" t="s">
        <v>1595</v>
      </c>
      <c r="B1332" s="57" t="s">
        <v>251</v>
      </c>
      <c r="C1332" s="57" t="s">
        <v>237</v>
      </c>
      <c r="D1332" s="57" t="s">
        <v>153</v>
      </c>
      <c r="E1332" s="57" t="s">
        <v>142</v>
      </c>
      <c r="F1332">
        <v>7</v>
      </c>
      <c r="G1332">
        <v>7000</v>
      </c>
      <c r="H1332" s="11">
        <v>45286</v>
      </c>
      <c r="I1332" s="57" t="s">
        <v>95</v>
      </c>
      <c r="J1332" s="57" t="s">
        <v>147</v>
      </c>
      <c r="K1332" s="57" t="s">
        <v>238</v>
      </c>
      <c r="L1332" t="s">
        <v>243</v>
      </c>
    </row>
    <row r="1333" spans="1:12" x14ac:dyDescent="0.3">
      <c r="A1333" s="57" t="s">
        <v>1596</v>
      </c>
      <c r="B1333" s="57" t="s">
        <v>251</v>
      </c>
      <c r="C1333" s="57" t="s">
        <v>237</v>
      </c>
      <c r="D1333" s="57" t="s">
        <v>144</v>
      </c>
      <c r="E1333" s="57" t="s">
        <v>252</v>
      </c>
      <c r="F1333">
        <v>0</v>
      </c>
      <c r="G1333">
        <v>7000</v>
      </c>
      <c r="H1333" s="11">
        <v>45408</v>
      </c>
      <c r="I1333" s="57" t="s">
        <v>257</v>
      </c>
      <c r="J1333" s="57" t="s">
        <v>143</v>
      </c>
      <c r="K1333" s="57" t="s">
        <v>238</v>
      </c>
      <c r="L1333" t="s">
        <v>243</v>
      </c>
    </row>
    <row r="1334" spans="1:12" x14ac:dyDescent="0.3">
      <c r="A1334" s="57" t="s">
        <v>1597</v>
      </c>
      <c r="B1334" s="57" t="s">
        <v>268</v>
      </c>
      <c r="C1334" s="57" t="s">
        <v>269</v>
      </c>
      <c r="D1334" s="57" t="s">
        <v>148</v>
      </c>
      <c r="E1334" s="57" t="s">
        <v>252</v>
      </c>
      <c r="F1334">
        <v>1</v>
      </c>
      <c r="G1334">
        <v>7000</v>
      </c>
      <c r="H1334" s="11">
        <v>44931</v>
      </c>
      <c r="I1334" s="57" t="s">
        <v>291</v>
      </c>
      <c r="J1334" s="57" t="s">
        <v>150</v>
      </c>
      <c r="K1334" s="57" t="s">
        <v>253</v>
      </c>
      <c r="L1334" t="s">
        <v>243</v>
      </c>
    </row>
    <row r="1335" spans="1:12" x14ac:dyDescent="0.3">
      <c r="A1335" s="57" t="s">
        <v>1598</v>
      </c>
      <c r="B1335" s="57" t="s">
        <v>255</v>
      </c>
      <c r="C1335" s="57" t="s">
        <v>237</v>
      </c>
      <c r="D1335" s="57" t="s">
        <v>148</v>
      </c>
      <c r="E1335" s="57" t="s">
        <v>260</v>
      </c>
      <c r="F1335">
        <v>10</v>
      </c>
      <c r="G1335">
        <v>7000</v>
      </c>
      <c r="H1335" s="11">
        <v>45466</v>
      </c>
      <c r="I1335" s="57" t="s">
        <v>100</v>
      </c>
      <c r="J1335" s="57" t="s">
        <v>147</v>
      </c>
      <c r="K1335" s="57" t="s">
        <v>239</v>
      </c>
      <c r="L1335" t="s">
        <v>243</v>
      </c>
    </row>
    <row r="1336" spans="1:12" x14ac:dyDescent="0.3">
      <c r="A1336" s="57" t="s">
        <v>1599</v>
      </c>
      <c r="B1336" s="57" t="s">
        <v>255</v>
      </c>
      <c r="C1336" s="57" t="s">
        <v>237</v>
      </c>
      <c r="D1336" s="57" t="s">
        <v>144</v>
      </c>
      <c r="E1336" s="57" t="s">
        <v>252</v>
      </c>
      <c r="F1336">
        <v>1</v>
      </c>
      <c r="G1336">
        <v>7000</v>
      </c>
      <c r="H1336" s="11">
        <v>45028</v>
      </c>
      <c r="I1336" s="57" t="s">
        <v>266</v>
      </c>
      <c r="J1336" s="57" t="s">
        <v>150</v>
      </c>
      <c r="K1336" s="57" t="s">
        <v>253</v>
      </c>
      <c r="L1336" t="s">
        <v>243</v>
      </c>
    </row>
    <row r="1337" spans="1:12" x14ac:dyDescent="0.3">
      <c r="A1337" s="57" t="s">
        <v>1600</v>
      </c>
      <c r="B1337" s="57" t="s">
        <v>262</v>
      </c>
      <c r="C1337" s="57" t="s">
        <v>263</v>
      </c>
      <c r="D1337" s="57" t="s">
        <v>238</v>
      </c>
      <c r="E1337" s="57" t="s">
        <v>149</v>
      </c>
      <c r="F1337">
        <v>10</v>
      </c>
      <c r="G1337">
        <v>7000</v>
      </c>
      <c r="H1337" s="11">
        <v>45239</v>
      </c>
      <c r="I1337" s="57" t="s">
        <v>257</v>
      </c>
      <c r="J1337" s="57" t="s">
        <v>248</v>
      </c>
      <c r="K1337" s="57" t="s">
        <v>249</v>
      </c>
      <c r="L1337" t="s">
        <v>243</v>
      </c>
    </row>
    <row r="1338" spans="1:12" x14ac:dyDescent="0.3">
      <c r="A1338" s="57" t="s">
        <v>1601</v>
      </c>
      <c r="B1338" s="57" t="s">
        <v>262</v>
      </c>
      <c r="C1338" s="57" t="s">
        <v>263</v>
      </c>
      <c r="D1338" s="57" t="s">
        <v>238</v>
      </c>
      <c r="E1338" s="57" t="s">
        <v>149</v>
      </c>
      <c r="F1338">
        <v>7</v>
      </c>
      <c r="G1338">
        <v>5900</v>
      </c>
      <c r="H1338" s="11">
        <v>45319</v>
      </c>
      <c r="I1338" s="57" t="s">
        <v>92</v>
      </c>
      <c r="J1338" s="57" t="s">
        <v>145</v>
      </c>
      <c r="K1338" s="57" t="s">
        <v>264</v>
      </c>
      <c r="L1338" t="s">
        <v>240</v>
      </c>
    </row>
    <row r="1339" spans="1:12" x14ac:dyDescent="0.3">
      <c r="A1339" s="57" t="s">
        <v>1602</v>
      </c>
      <c r="B1339" s="57" t="s">
        <v>245</v>
      </c>
      <c r="C1339" s="57" t="s">
        <v>237</v>
      </c>
      <c r="D1339" s="57" t="s">
        <v>238</v>
      </c>
      <c r="E1339" s="57" t="s">
        <v>149</v>
      </c>
      <c r="F1339">
        <v>6</v>
      </c>
      <c r="G1339">
        <v>7000</v>
      </c>
      <c r="H1339" s="11">
        <v>44991</v>
      </c>
      <c r="I1339" s="57" t="s">
        <v>92</v>
      </c>
      <c r="J1339" s="57" t="s">
        <v>145</v>
      </c>
      <c r="K1339" s="57" t="s">
        <v>249</v>
      </c>
      <c r="L1339" t="s">
        <v>243</v>
      </c>
    </row>
    <row r="1340" spans="1:12" x14ac:dyDescent="0.3">
      <c r="A1340" s="57" t="s">
        <v>1603</v>
      </c>
      <c r="B1340" s="57" t="s">
        <v>251</v>
      </c>
      <c r="C1340" s="57" t="s">
        <v>237</v>
      </c>
      <c r="D1340" s="57" t="s">
        <v>238</v>
      </c>
      <c r="E1340" s="57" t="s">
        <v>260</v>
      </c>
      <c r="F1340">
        <v>7</v>
      </c>
      <c r="G1340">
        <v>7000</v>
      </c>
      <c r="H1340" s="11">
        <v>45315</v>
      </c>
      <c r="I1340" s="57" t="s">
        <v>291</v>
      </c>
      <c r="J1340" s="57" t="s">
        <v>248</v>
      </c>
      <c r="K1340" s="57" t="s">
        <v>249</v>
      </c>
      <c r="L1340" t="s">
        <v>243</v>
      </c>
    </row>
    <row r="1341" spans="1:12" x14ac:dyDescent="0.3">
      <c r="A1341" s="57" t="s">
        <v>1604</v>
      </c>
      <c r="B1341" s="57" t="s">
        <v>247</v>
      </c>
      <c r="C1341" s="57" t="s">
        <v>237</v>
      </c>
      <c r="D1341" s="57" t="s">
        <v>144</v>
      </c>
      <c r="E1341" s="57" t="s">
        <v>256</v>
      </c>
      <c r="F1341">
        <v>7</v>
      </c>
      <c r="G1341">
        <v>5900</v>
      </c>
      <c r="H1341" s="11">
        <v>45097</v>
      </c>
      <c r="I1341" s="57" t="s">
        <v>257</v>
      </c>
      <c r="J1341" s="57" t="s">
        <v>143</v>
      </c>
      <c r="K1341" s="57" t="s">
        <v>238</v>
      </c>
      <c r="L1341" t="s">
        <v>240</v>
      </c>
    </row>
    <row r="1342" spans="1:12" x14ac:dyDescent="0.3">
      <c r="A1342" s="57" t="s">
        <v>1605</v>
      </c>
      <c r="B1342" s="57" t="s">
        <v>236</v>
      </c>
      <c r="C1342" s="57" t="s">
        <v>237</v>
      </c>
      <c r="D1342" s="57" t="s">
        <v>238</v>
      </c>
      <c r="E1342" s="57" t="s">
        <v>260</v>
      </c>
      <c r="F1342">
        <v>7</v>
      </c>
      <c r="G1342">
        <v>737</v>
      </c>
      <c r="H1342" s="11">
        <v>45487</v>
      </c>
      <c r="I1342" s="57" t="s">
        <v>257</v>
      </c>
      <c r="J1342" s="57" t="s">
        <v>248</v>
      </c>
      <c r="K1342" s="57" t="s">
        <v>238</v>
      </c>
      <c r="L1342" t="s">
        <v>302</v>
      </c>
    </row>
    <row r="1343" spans="1:12" x14ac:dyDescent="0.3">
      <c r="A1343" s="57" t="s">
        <v>1606</v>
      </c>
      <c r="B1343" s="57" t="s">
        <v>245</v>
      </c>
      <c r="C1343" s="57" t="s">
        <v>237</v>
      </c>
      <c r="D1343" s="57" t="s">
        <v>238</v>
      </c>
      <c r="E1343" s="57" t="s">
        <v>149</v>
      </c>
      <c r="F1343">
        <v>8</v>
      </c>
      <c r="G1343">
        <v>7000</v>
      </c>
      <c r="H1343" s="11">
        <v>45153</v>
      </c>
      <c r="I1343" s="57" t="s">
        <v>266</v>
      </c>
      <c r="J1343" s="57" t="s">
        <v>143</v>
      </c>
      <c r="K1343" s="57" t="s">
        <v>249</v>
      </c>
      <c r="L1343" t="s">
        <v>243</v>
      </c>
    </row>
    <row r="1344" spans="1:12" x14ac:dyDescent="0.3">
      <c r="A1344" s="57" t="s">
        <v>1607</v>
      </c>
      <c r="B1344" s="57" t="s">
        <v>275</v>
      </c>
      <c r="C1344" s="57" t="s">
        <v>276</v>
      </c>
      <c r="D1344" s="57" t="s">
        <v>141</v>
      </c>
      <c r="E1344" s="57" t="s">
        <v>256</v>
      </c>
      <c r="F1344">
        <v>5</v>
      </c>
      <c r="G1344">
        <v>5900</v>
      </c>
      <c r="H1344" s="11">
        <v>45616</v>
      </c>
      <c r="I1344" s="57" t="s">
        <v>257</v>
      </c>
      <c r="J1344" s="57" t="s">
        <v>150</v>
      </c>
      <c r="K1344" s="57" t="s">
        <v>239</v>
      </c>
      <c r="L1344" t="s">
        <v>240</v>
      </c>
    </row>
    <row r="1345" spans="1:12" x14ac:dyDescent="0.3">
      <c r="A1345" s="57" t="s">
        <v>1608</v>
      </c>
      <c r="B1345" s="57" t="s">
        <v>195</v>
      </c>
      <c r="C1345" s="57" t="s">
        <v>196</v>
      </c>
      <c r="D1345" s="57" t="s">
        <v>151</v>
      </c>
      <c r="E1345" s="57" t="s">
        <v>260</v>
      </c>
      <c r="F1345">
        <v>10</v>
      </c>
      <c r="G1345">
        <v>2731</v>
      </c>
      <c r="H1345" s="11">
        <v>45247</v>
      </c>
      <c r="I1345" s="57" t="s">
        <v>242</v>
      </c>
      <c r="J1345" s="57" t="s">
        <v>147</v>
      </c>
      <c r="K1345" s="57" t="s">
        <v>197</v>
      </c>
      <c r="L1345" t="s">
        <v>258</v>
      </c>
    </row>
    <row r="1346" spans="1:12" x14ac:dyDescent="0.3">
      <c r="A1346" s="57" t="s">
        <v>1609</v>
      </c>
      <c r="B1346" s="57" t="s">
        <v>255</v>
      </c>
      <c r="C1346" s="57" t="s">
        <v>237</v>
      </c>
      <c r="D1346" s="57" t="s">
        <v>152</v>
      </c>
      <c r="E1346" s="57" t="s">
        <v>252</v>
      </c>
      <c r="F1346">
        <v>7</v>
      </c>
      <c r="G1346">
        <v>5900</v>
      </c>
      <c r="H1346" s="11">
        <v>45617</v>
      </c>
      <c r="I1346" s="57" t="s">
        <v>100</v>
      </c>
      <c r="J1346" s="57" t="s">
        <v>248</v>
      </c>
      <c r="K1346" s="57" t="s">
        <v>264</v>
      </c>
      <c r="L1346" t="s">
        <v>240</v>
      </c>
    </row>
    <row r="1347" spans="1:12" x14ac:dyDescent="0.3">
      <c r="A1347" s="57" t="s">
        <v>1610</v>
      </c>
      <c r="B1347" s="57" t="s">
        <v>262</v>
      </c>
      <c r="C1347" s="57" t="s">
        <v>263</v>
      </c>
      <c r="D1347" s="57" t="s">
        <v>238</v>
      </c>
      <c r="E1347" s="57" t="s">
        <v>142</v>
      </c>
      <c r="F1347">
        <v>8</v>
      </c>
      <c r="G1347">
        <v>5900</v>
      </c>
      <c r="H1347" s="11">
        <v>44987</v>
      </c>
      <c r="I1347" s="57" t="s">
        <v>266</v>
      </c>
      <c r="J1347" s="57" t="s">
        <v>145</v>
      </c>
      <c r="K1347" s="57" t="s">
        <v>197</v>
      </c>
      <c r="L1347" t="s">
        <v>240</v>
      </c>
    </row>
    <row r="1348" spans="1:12" x14ac:dyDescent="0.3">
      <c r="A1348" s="57" t="s">
        <v>1611</v>
      </c>
      <c r="B1348" s="57" t="s">
        <v>247</v>
      </c>
      <c r="C1348" s="57" t="s">
        <v>237</v>
      </c>
      <c r="D1348" s="57" t="s">
        <v>148</v>
      </c>
      <c r="E1348" s="57" t="s">
        <v>142</v>
      </c>
      <c r="F1348">
        <v>7</v>
      </c>
      <c r="G1348">
        <v>5900</v>
      </c>
      <c r="H1348" s="11">
        <v>45178</v>
      </c>
      <c r="I1348" s="57" t="s">
        <v>257</v>
      </c>
      <c r="J1348" s="57" t="s">
        <v>147</v>
      </c>
      <c r="K1348" s="57" t="s">
        <v>264</v>
      </c>
      <c r="L1348" t="s">
        <v>240</v>
      </c>
    </row>
    <row r="1349" spans="1:12" x14ac:dyDescent="0.3">
      <c r="A1349" s="57" t="s">
        <v>1612</v>
      </c>
      <c r="B1349" s="57" t="s">
        <v>273</v>
      </c>
      <c r="C1349" s="57" t="s">
        <v>237</v>
      </c>
      <c r="D1349" s="57" t="s">
        <v>238</v>
      </c>
      <c r="E1349" s="57" t="s">
        <v>260</v>
      </c>
      <c r="F1349">
        <v>10</v>
      </c>
      <c r="G1349">
        <v>7000</v>
      </c>
      <c r="H1349" s="11">
        <v>45398</v>
      </c>
      <c r="I1349" s="57" t="s">
        <v>92</v>
      </c>
      <c r="J1349" s="57" t="s">
        <v>150</v>
      </c>
      <c r="K1349" s="57" t="s">
        <v>197</v>
      </c>
      <c r="L1349" t="s">
        <v>243</v>
      </c>
    </row>
    <row r="1350" spans="1:12" x14ac:dyDescent="0.3">
      <c r="A1350" s="57" t="s">
        <v>1613</v>
      </c>
      <c r="B1350" s="57" t="s">
        <v>251</v>
      </c>
      <c r="C1350" s="57" t="s">
        <v>237</v>
      </c>
      <c r="D1350" s="57" t="s">
        <v>148</v>
      </c>
      <c r="E1350" s="57" t="s">
        <v>252</v>
      </c>
      <c r="F1350">
        <v>5</v>
      </c>
      <c r="G1350">
        <v>3226</v>
      </c>
      <c r="H1350" s="11">
        <v>45417</v>
      </c>
      <c r="I1350" s="57" t="s">
        <v>89</v>
      </c>
      <c r="J1350" s="57" t="s">
        <v>143</v>
      </c>
      <c r="K1350" s="57" t="s">
        <v>264</v>
      </c>
      <c r="L1350" t="s">
        <v>258</v>
      </c>
    </row>
    <row r="1351" spans="1:12" x14ac:dyDescent="0.3">
      <c r="A1351" s="57" t="s">
        <v>1614</v>
      </c>
      <c r="B1351" s="57" t="s">
        <v>236</v>
      </c>
      <c r="C1351" s="57" t="s">
        <v>237</v>
      </c>
      <c r="D1351" s="57" t="s">
        <v>153</v>
      </c>
      <c r="E1351" s="57" t="s">
        <v>149</v>
      </c>
      <c r="F1351">
        <v>2</v>
      </c>
      <c r="G1351">
        <v>7000</v>
      </c>
      <c r="H1351" s="11">
        <v>45506</v>
      </c>
      <c r="I1351" s="57" t="s">
        <v>257</v>
      </c>
      <c r="J1351" s="57" t="s">
        <v>145</v>
      </c>
      <c r="K1351" s="57" t="s">
        <v>239</v>
      </c>
      <c r="L1351" t="s">
        <v>243</v>
      </c>
    </row>
    <row r="1352" spans="1:12" x14ac:dyDescent="0.3">
      <c r="A1352" s="57" t="s">
        <v>1615</v>
      </c>
      <c r="B1352" s="57" t="s">
        <v>245</v>
      </c>
      <c r="C1352" s="57" t="s">
        <v>237</v>
      </c>
      <c r="D1352" s="57" t="s">
        <v>148</v>
      </c>
      <c r="E1352" s="57" t="s">
        <v>260</v>
      </c>
      <c r="F1352">
        <v>5</v>
      </c>
      <c r="G1352">
        <v>7000</v>
      </c>
      <c r="H1352" s="11">
        <v>45229</v>
      </c>
      <c r="I1352" s="57" t="s">
        <v>257</v>
      </c>
      <c r="J1352" s="57" t="s">
        <v>147</v>
      </c>
      <c r="K1352" s="57" t="s">
        <v>238</v>
      </c>
      <c r="L1352" t="s">
        <v>243</v>
      </c>
    </row>
    <row r="1353" spans="1:12" x14ac:dyDescent="0.3">
      <c r="A1353" s="57" t="s">
        <v>1616</v>
      </c>
      <c r="B1353" s="57" t="s">
        <v>262</v>
      </c>
      <c r="C1353" s="57" t="s">
        <v>263</v>
      </c>
      <c r="D1353" s="57" t="s">
        <v>152</v>
      </c>
      <c r="E1353" s="57" t="s">
        <v>252</v>
      </c>
      <c r="F1353">
        <v>10</v>
      </c>
      <c r="G1353">
        <v>7000</v>
      </c>
      <c r="H1353" s="11">
        <v>45239</v>
      </c>
      <c r="I1353" s="57" t="s">
        <v>92</v>
      </c>
      <c r="J1353" s="57" t="s">
        <v>150</v>
      </c>
      <c r="K1353" s="57" t="s">
        <v>249</v>
      </c>
      <c r="L1353" t="s">
        <v>243</v>
      </c>
    </row>
    <row r="1354" spans="1:12" x14ac:dyDescent="0.3">
      <c r="A1354" s="57" t="s">
        <v>1617</v>
      </c>
      <c r="B1354" s="57" t="s">
        <v>273</v>
      </c>
      <c r="C1354" s="57" t="s">
        <v>237</v>
      </c>
      <c r="D1354" s="57" t="s">
        <v>144</v>
      </c>
      <c r="E1354" s="57" t="s">
        <v>149</v>
      </c>
      <c r="F1354">
        <v>0</v>
      </c>
      <c r="G1354">
        <v>1955</v>
      </c>
      <c r="H1354" s="11">
        <v>45171</v>
      </c>
      <c r="I1354" s="57" t="s">
        <v>257</v>
      </c>
      <c r="J1354" s="57" t="s">
        <v>147</v>
      </c>
      <c r="K1354" s="57" t="s">
        <v>197</v>
      </c>
      <c r="L1354" t="s">
        <v>258</v>
      </c>
    </row>
    <row r="1355" spans="1:12" x14ac:dyDescent="0.3">
      <c r="A1355" s="57" t="s">
        <v>1618</v>
      </c>
      <c r="B1355" s="57" t="s">
        <v>262</v>
      </c>
      <c r="C1355" s="57" t="s">
        <v>263</v>
      </c>
      <c r="D1355" s="57" t="s">
        <v>238</v>
      </c>
      <c r="E1355" s="57" t="s">
        <v>142</v>
      </c>
      <c r="F1355">
        <v>4</v>
      </c>
      <c r="G1355">
        <v>7000</v>
      </c>
      <c r="H1355" s="11">
        <v>45067</v>
      </c>
      <c r="I1355" s="57" t="s">
        <v>242</v>
      </c>
      <c r="J1355" s="57" t="s">
        <v>147</v>
      </c>
      <c r="K1355" s="57" t="s">
        <v>239</v>
      </c>
      <c r="L1355" t="s">
        <v>243</v>
      </c>
    </row>
    <row r="1356" spans="1:12" x14ac:dyDescent="0.3">
      <c r="A1356" s="57" t="s">
        <v>1619</v>
      </c>
      <c r="B1356" s="57" t="s">
        <v>247</v>
      </c>
      <c r="C1356" s="57" t="s">
        <v>237</v>
      </c>
      <c r="D1356" s="57" t="s">
        <v>148</v>
      </c>
      <c r="E1356" s="57" t="s">
        <v>256</v>
      </c>
      <c r="F1356">
        <v>2</v>
      </c>
      <c r="G1356">
        <v>7000</v>
      </c>
      <c r="H1356" s="11">
        <v>45056</v>
      </c>
      <c r="I1356" s="57" t="s">
        <v>257</v>
      </c>
      <c r="J1356" s="57" t="s">
        <v>145</v>
      </c>
      <c r="K1356" s="57" t="s">
        <v>197</v>
      </c>
      <c r="L1356" t="s">
        <v>243</v>
      </c>
    </row>
    <row r="1357" spans="1:12" x14ac:dyDescent="0.3">
      <c r="A1357" s="57" t="s">
        <v>1620</v>
      </c>
      <c r="B1357" s="57" t="s">
        <v>236</v>
      </c>
      <c r="C1357" s="57" t="s">
        <v>237</v>
      </c>
      <c r="D1357" s="57" t="s">
        <v>148</v>
      </c>
      <c r="E1357" s="57" t="s">
        <v>252</v>
      </c>
      <c r="F1357">
        <v>10</v>
      </c>
      <c r="G1357">
        <v>5900</v>
      </c>
      <c r="H1357" s="11">
        <v>45354</v>
      </c>
      <c r="I1357" s="57" t="s">
        <v>92</v>
      </c>
      <c r="J1357" s="57" t="s">
        <v>147</v>
      </c>
      <c r="K1357" s="57" t="s">
        <v>238</v>
      </c>
      <c r="L1357" t="s">
        <v>240</v>
      </c>
    </row>
    <row r="1358" spans="1:12" x14ac:dyDescent="0.3">
      <c r="A1358" s="57" t="s">
        <v>1621</v>
      </c>
      <c r="B1358" s="57" t="s">
        <v>262</v>
      </c>
      <c r="C1358" s="57" t="s">
        <v>263</v>
      </c>
      <c r="D1358" s="57" t="s">
        <v>152</v>
      </c>
      <c r="E1358" s="57" t="s">
        <v>256</v>
      </c>
      <c r="F1358">
        <v>4</v>
      </c>
      <c r="G1358">
        <v>5900</v>
      </c>
      <c r="H1358" s="11">
        <v>45625</v>
      </c>
      <c r="I1358" s="57" t="s">
        <v>100</v>
      </c>
      <c r="J1358" s="57" t="s">
        <v>147</v>
      </c>
      <c r="K1358" s="57" t="s">
        <v>239</v>
      </c>
      <c r="L1358" t="s">
        <v>240</v>
      </c>
    </row>
    <row r="1359" spans="1:12" x14ac:dyDescent="0.3">
      <c r="A1359" s="57" t="s">
        <v>1622</v>
      </c>
      <c r="B1359" s="57" t="s">
        <v>236</v>
      </c>
      <c r="C1359" s="57" t="s">
        <v>237</v>
      </c>
      <c r="D1359" s="57" t="s">
        <v>238</v>
      </c>
      <c r="E1359" s="57" t="s">
        <v>256</v>
      </c>
      <c r="F1359">
        <v>7</v>
      </c>
      <c r="G1359">
        <v>120</v>
      </c>
      <c r="H1359" s="11">
        <v>45187</v>
      </c>
      <c r="I1359" s="57" t="s">
        <v>266</v>
      </c>
      <c r="J1359" s="57" t="s">
        <v>145</v>
      </c>
      <c r="K1359" s="57" t="s">
        <v>264</v>
      </c>
      <c r="L1359" t="s">
        <v>302</v>
      </c>
    </row>
    <row r="1360" spans="1:12" x14ac:dyDescent="0.3">
      <c r="A1360" s="57" t="s">
        <v>1623</v>
      </c>
      <c r="B1360" s="57" t="s">
        <v>236</v>
      </c>
      <c r="C1360" s="57" t="s">
        <v>237</v>
      </c>
      <c r="D1360" s="57" t="s">
        <v>151</v>
      </c>
      <c r="E1360" s="57" t="s">
        <v>149</v>
      </c>
      <c r="F1360">
        <v>0</v>
      </c>
      <c r="G1360">
        <v>7000</v>
      </c>
      <c r="H1360" s="11">
        <v>45038</v>
      </c>
      <c r="I1360" s="57" t="s">
        <v>89</v>
      </c>
      <c r="J1360" s="57" t="s">
        <v>150</v>
      </c>
      <c r="K1360" s="57" t="s">
        <v>264</v>
      </c>
      <c r="L1360" t="s">
        <v>243</v>
      </c>
    </row>
    <row r="1361" spans="1:12" x14ac:dyDescent="0.3">
      <c r="A1361" s="57" t="s">
        <v>1624</v>
      </c>
      <c r="B1361" s="57" t="s">
        <v>251</v>
      </c>
      <c r="C1361" s="57" t="s">
        <v>237</v>
      </c>
      <c r="D1361" s="57" t="s">
        <v>151</v>
      </c>
      <c r="E1361" s="57" t="s">
        <v>256</v>
      </c>
      <c r="F1361">
        <v>0</v>
      </c>
      <c r="G1361">
        <v>5900</v>
      </c>
      <c r="H1361" s="11">
        <v>45517</v>
      </c>
      <c r="I1361" s="57" t="s">
        <v>89</v>
      </c>
      <c r="J1361" s="57" t="s">
        <v>150</v>
      </c>
      <c r="K1361" s="57" t="s">
        <v>238</v>
      </c>
      <c r="L1361" t="s">
        <v>240</v>
      </c>
    </row>
    <row r="1362" spans="1:12" x14ac:dyDescent="0.3">
      <c r="A1362" s="57" t="s">
        <v>1625</v>
      </c>
      <c r="B1362" s="57" t="s">
        <v>268</v>
      </c>
      <c r="C1362" s="57" t="s">
        <v>269</v>
      </c>
      <c r="D1362" s="57" t="s">
        <v>141</v>
      </c>
      <c r="E1362" s="57" t="s">
        <v>256</v>
      </c>
      <c r="F1362">
        <v>10</v>
      </c>
      <c r="G1362">
        <v>3841</v>
      </c>
      <c r="H1362" s="11">
        <v>45370</v>
      </c>
      <c r="I1362" s="57" t="s">
        <v>266</v>
      </c>
      <c r="J1362" s="57" t="s">
        <v>145</v>
      </c>
      <c r="K1362" s="57" t="s">
        <v>238</v>
      </c>
      <c r="L1362" t="s">
        <v>258</v>
      </c>
    </row>
    <row r="1363" spans="1:12" x14ac:dyDescent="0.3">
      <c r="A1363" s="57" t="s">
        <v>1626</v>
      </c>
      <c r="B1363" s="57" t="s">
        <v>247</v>
      </c>
      <c r="C1363" s="57" t="s">
        <v>237</v>
      </c>
      <c r="D1363" s="57" t="s">
        <v>151</v>
      </c>
      <c r="E1363" s="57" t="s">
        <v>142</v>
      </c>
      <c r="F1363">
        <v>2</v>
      </c>
      <c r="G1363">
        <v>7000</v>
      </c>
      <c r="H1363" s="11">
        <v>45531</v>
      </c>
      <c r="I1363" s="57" t="s">
        <v>242</v>
      </c>
      <c r="J1363" s="57" t="s">
        <v>145</v>
      </c>
      <c r="K1363" s="57" t="s">
        <v>238</v>
      </c>
      <c r="L1363" t="s">
        <v>243</v>
      </c>
    </row>
    <row r="1364" spans="1:12" x14ac:dyDescent="0.3">
      <c r="A1364" s="57" t="s">
        <v>1627</v>
      </c>
      <c r="B1364" s="57" t="s">
        <v>273</v>
      </c>
      <c r="C1364" s="57" t="s">
        <v>237</v>
      </c>
      <c r="D1364" s="57" t="s">
        <v>152</v>
      </c>
      <c r="E1364" s="57" t="s">
        <v>149</v>
      </c>
      <c r="F1364">
        <v>0</v>
      </c>
      <c r="G1364">
        <v>7000</v>
      </c>
      <c r="H1364" s="11">
        <v>44959</v>
      </c>
      <c r="I1364" s="57" t="s">
        <v>266</v>
      </c>
      <c r="J1364" s="57" t="s">
        <v>147</v>
      </c>
      <c r="K1364" s="57" t="s">
        <v>264</v>
      </c>
      <c r="L1364" t="s">
        <v>243</v>
      </c>
    </row>
    <row r="1365" spans="1:12" x14ac:dyDescent="0.3">
      <c r="A1365" s="57" t="s">
        <v>1628</v>
      </c>
      <c r="B1365" s="57" t="s">
        <v>245</v>
      </c>
      <c r="C1365" s="57" t="s">
        <v>237</v>
      </c>
      <c r="D1365" s="57" t="s">
        <v>144</v>
      </c>
      <c r="E1365" s="57" t="s">
        <v>252</v>
      </c>
      <c r="F1365">
        <v>7</v>
      </c>
      <c r="G1365">
        <v>5900</v>
      </c>
      <c r="H1365" s="11">
        <v>45326</v>
      </c>
      <c r="I1365" s="57" t="s">
        <v>95</v>
      </c>
      <c r="J1365" s="57" t="s">
        <v>248</v>
      </c>
      <c r="K1365" s="57" t="s">
        <v>238</v>
      </c>
      <c r="L1365" t="s">
        <v>240</v>
      </c>
    </row>
    <row r="1366" spans="1:12" x14ac:dyDescent="0.3">
      <c r="A1366" s="57" t="s">
        <v>1629</v>
      </c>
      <c r="B1366" s="57" t="s">
        <v>236</v>
      </c>
      <c r="C1366" s="57" t="s">
        <v>237</v>
      </c>
      <c r="D1366" s="57" t="s">
        <v>238</v>
      </c>
      <c r="E1366" s="57" t="s">
        <v>252</v>
      </c>
      <c r="F1366">
        <v>0</v>
      </c>
      <c r="G1366">
        <v>7000</v>
      </c>
      <c r="H1366" s="11">
        <v>44996</v>
      </c>
      <c r="I1366" s="57" t="s">
        <v>92</v>
      </c>
      <c r="J1366" s="57" t="s">
        <v>147</v>
      </c>
      <c r="K1366" s="57" t="s">
        <v>197</v>
      </c>
      <c r="L1366" t="s">
        <v>243</v>
      </c>
    </row>
    <row r="1367" spans="1:12" x14ac:dyDescent="0.3">
      <c r="A1367" s="57" t="s">
        <v>1630</v>
      </c>
      <c r="B1367" s="57" t="s">
        <v>268</v>
      </c>
      <c r="C1367" s="57" t="s">
        <v>269</v>
      </c>
      <c r="D1367" s="57" t="s">
        <v>144</v>
      </c>
      <c r="E1367" s="57" t="s">
        <v>142</v>
      </c>
      <c r="F1367">
        <v>10</v>
      </c>
      <c r="G1367">
        <v>7000</v>
      </c>
      <c r="H1367" s="11">
        <v>45565</v>
      </c>
      <c r="I1367" s="57" t="s">
        <v>291</v>
      </c>
      <c r="J1367" s="57" t="s">
        <v>145</v>
      </c>
      <c r="K1367" s="57" t="s">
        <v>239</v>
      </c>
      <c r="L1367" t="s">
        <v>243</v>
      </c>
    </row>
    <row r="1368" spans="1:12" x14ac:dyDescent="0.3">
      <c r="A1368" s="57" t="s">
        <v>1631</v>
      </c>
      <c r="B1368" s="57" t="s">
        <v>273</v>
      </c>
      <c r="C1368" s="57" t="s">
        <v>237</v>
      </c>
      <c r="D1368" s="57" t="s">
        <v>148</v>
      </c>
      <c r="E1368" s="57" t="s">
        <v>252</v>
      </c>
      <c r="F1368">
        <v>7</v>
      </c>
      <c r="G1368">
        <v>7000</v>
      </c>
      <c r="H1368" s="11">
        <v>45511</v>
      </c>
      <c r="I1368" s="57" t="s">
        <v>266</v>
      </c>
      <c r="J1368" s="57" t="s">
        <v>147</v>
      </c>
      <c r="K1368" s="57" t="s">
        <v>249</v>
      </c>
      <c r="L1368" t="s">
        <v>243</v>
      </c>
    </row>
    <row r="1369" spans="1:12" x14ac:dyDescent="0.3">
      <c r="A1369" s="57" t="s">
        <v>1632</v>
      </c>
      <c r="B1369" s="57" t="s">
        <v>251</v>
      </c>
      <c r="C1369" s="57" t="s">
        <v>237</v>
      </c>
      <c r="D1369" s="57" t="s">
        <v>238</v>
      </c>
      <c r="E1369" s="57" t="s">
        <v>142</v>
      </c>
      <c r="F1369">
        <v>5</v>
      </c>
      <c r="G1369">
        <v>7000</v>
      </c>
      <c r="H1369" s="11">
        <v>45430</v>
      </c>
      <c r="I1369" s="57" t="s">
        <v>266</v>
      </c>
      <c r="J1369" s="57" t="s">
        <v>147</v>
      </c>
      <c r="K1369" s="57" t="s">
        <v>249</v>
      </c>
      <c r="L1369" t="s">
        <v>243</v>
      </c>
    </row>
    <row r="1370" spans="1:12" x14ac:dyDescent="0.3">
      <c r="A1370" s="57" t="s">
        <v>1633</v>
      </c>
      <c r="B1370" s="57" t="s">
        <v>255</v>
      </c>
      <c r="C1370" s="57" t="s">
        <v>237</v>
      </c>
      <c r="D1370" s="57" t="s">
        <v>238</v>
      </c>
      <c r="E1370" s="57" t="s">
        <v>260</v>
      </c>
      <c r="F1370">
        <v>5</v>
      </c>
      <c r="G1370">
        <v>7000</v>
      </c>
      <c r="H1370" s="11">
        <v>45363</v>
      </c>
      <c r="I1370" s="57" t="s">
        <v>242</v>
      </c>
      <c r="J1370" s="57" t="s">
        <v>145</v>
      </c>
      <c r="K1370" s="57" t="s">
        <v>239</v>
      </c>
      <c r="L1370" t="s">
        <v>243</v>
      </c>
    </row>
    <row r="1371" spans="1:12" x14ac:dyDescent="0.3">
      <c r="A1371" s="57" t="s">
        <v>1634</v>
      </c>
      <c r="B1371" s="57" t="s">
        <v>273</v>
      </c>
      <c r="C1371" s="57" t="s">
        <v>237</v>
      </c>
      <c r="D1371" s="57" t="s">
        <v>144</v>
      </c>
      <c r="E1371" s="57" t="s">
        <v>256</v>
      </c>
      <c r="F1371">
        <v>7</v>
      </c>
      <c r="G1371">
        <v>7000</v>
      </c>
      <c r="H1371" s="11">
        <v>45028</v>
      </c>
      <c r="I1371" s="57" t="s">
        <v>266</v>
      </c>
      <c r="J1371" s="57" t="s">
        <v>145</v>
      </c>
      <c r="K1371" s="57" t="s">
        <v>253</v>
      </c>
      <c r="L1371" t="s">
        <v>243</v>
      </c>
    </row>
    <row r="1372" spans="1:12" x14ac:dyDescent="0.3">
      <c r="A1372" s="57" t="s">
        <v>1635</v>
      </c>
      <c r="B1372" s="57" t="s">
        <v>273</v>
      </c>
      <c r="C1372" s="57" t="s">
        <v>237</v>
      </c>
      <c r="D1372" s="57" t="s">
        <v>153</v>
      </c>
      <c r="E1372" s="57" t="s">
        <v>260</v>
      </c>
      <c r="F1372">
        <v>10</v>
      </c>
      <c r="G1372">
        <v>1986</v>
      </c>
      <c r="H1372" s="11">
        <v>45239</v>
      </c>
      <c r="I1372" s="57" t="s">
        <v>266</v>
      </c>
      <c r="J1372" s="57" t="s">
        <v>248</v>
      </c>
      <c r="K1372" s="57" t="s">
        <v>249</v>
      </c>
      <c r="L1372" t="s">
        <v>258</v>
      </c>
    </row>
    <row r="1373" spans="1:12" x14ac:dyDescent="0.3">
      <c r="A1373" s="57" t="s">
        <v>1636</v>
      </c>
      <c r="B1373" s="57" t="s">
        <v>247</v>
      </c>
      <c r="C1373" s="57" t="s">
        <v>237</v>
      </c>
      <c r="D1373" s="57" t="s">
        <v>238</v>
      </c>
      <c r="E1373" s="57" t="s">
        <v>256</v>
      </c>
      <c r="F1373">
        <v>0</v>
      </c>
      <c r="G1373">
        <v>7000</v>
      </c>
      <c r="H1373" s="11">
        <v>45546</v>
      </c>
      <c r="I1373" s="57" t="s">
        <v>95</v>
      </c>
      <c r="J1373" s="57" t="s">
        <v>248</v>
      </c>
      <c r="K1373" s="57" t="s">
        <v>238</v>
      </c>
      <c r="L1373" t="s">
        <v>243</v>
      </c>
    </row>
    <row r="1374" spans="1:12" x14ac:dyDescent="0.3">
      <c r="A1374" s="57" t="s">
        <v>1637</v>
      </c>
      <c r="B1374" s="57" t="s">
        <v>245</v>
      </c>
      <c r="C1374" s="57" t="s">
        <v>237</v>
      </c>
      <c r="D1374" s="57" t="s">
        <v>141</v>
      </c>
      <c r="E1374" s="57" t="s">
        <v>256</v>
      </c>
      <c r="F1374">
        <v>10</v>
      </c>
      <c r="G1374">
        <v>2592</v>
      </c>
      <c r="H1374" s="11">
        <v>45448</v>
      </c>
      <c r="I1374" s="57" t="s">
        <v>89</v>
      </c>
      <c r="J1374" s="57" t="s">
        <v>145</v>
      </c>
      <c r="K1374" s="57" t="s">
        <v>197</v>
      </c>
      <c r="L1374" t="s">
        <v>258</v>
      </c>
    </row>
    <row r="1375" spans="1:12" x14ac:dyDescent="0.3">
      <c r="A1375" s="57" t="s">
        <v>1638</v>
      </c>
      <c r="B1375" s="57" t="s">
        <v>195</v>
      </c>
      <c r="C1375" s="57" t="s">
        <v>196</v>
      </c>
      <c r="D1375" s="57" t="s">
        <v>238</v>
      </c>
      <c r="E1375" s="57" t="s">
        <v>256</v>
      </c>
      <c r="F1375">
        <v>6</v>
      </c>
      <c r="G1375">
        <v>7000</v>
      </c>
      <c r="H1375" s="11">
        <v>45588</v>
      </c>
      <c r="I1375" s="57" t="s">
        <v>291</v>
      </c>
      <c r="J1375" s="57" t="s">
        <v>248</v>
      </c>
      <c r="K1375" s="57" t="s">
        <v>239</v>
      </c>
      <c r="L1375" t="s">
        <v>243</v>
      </c>
    </row>
    <row r="1376" spans="1:12" x14ac:dyDescent="0.3">
      <c r="A1376" s="57" t="s">
        <v>1639</v>
      </c>
      <c r="B1376" s="57" t="s">
        <v>268</v>
      </c>
      <c r="C1376" s="57" t="s">
        <v>269</v>
      </c>
      <c r="D1376" s="57" t="s">
        <v>151</v>
      </c>
      <c r="E1376" s="57" t="s">
        <v>260</v>
      </c>
      <c r="F1376">
        <v>5</v>
      </c>
      <c r="G1376">
        <v>7000</v>
      </c>
      <c r="H1376" s="11">
        <v>45159</v>
      </c>
      <c r="I1376" s="57" t="s">
        <v>95</v>
      </c>
      <c r="J1376" s="57" t="s">
        <v>150</v>
      </c>
      <c r="K1376" s="57" t="s">
        <v>197</v>
      </c>
      <c r="L1376" t="s">
        <v>243</v>
      </c>
    </row>
    <row r="1377" spans="1:12" x14ac:dyDescent="0.3">
      <c r="A1377" s="57" t="s">
        <v>1640</v>
      </c>
      <c r="B1377" s="57" t="s">
        <v>195</v>
      </c>
      <c r="C1377" s="57" t="s">
        <v>196</v>
      </c>
      <c r="D1377" s="57" t="s">
        <v>152</v>
      </c>
      <c r="E1377" s="57" t="s">
        <v>256</v>
      </c>
      <c r="F1377">
        <v>7</v>
      </c>
      <c r="G1377">
        <v>7000</v>
      </c>
      <c r="H1377" s="11">
        <v>45384</v>
      </c>
      <c r="I1377" s="57" t="s">
        <v>242</v>
      </c>
      <c r="J1377" s="57" t="s">
        <v>150</v>
      </c>
      <c r="K1377" s="57" t="s">
        <v>197</v>
      </c>
      <c r="L1377" t="s">
        <v>243</v>
      </c>
    </row>
    <row r="1378" spans="1:12" x14ac:dyDescent="0.3">
      <c r="A1378" s="57" t="s">
        <v>1641</v>
      </c>
      <c r="B1378" s="57" t="s">
        <v>245</v>
      </c>
      <c r="C1378" s="57" t="s">
        <v>237</v>
      </c>
      <c r="D1378" s="57" t="s">
        <v>148</v>
      </c>
      <c r="E1378" s="57" t="s">
        <v>149</v>
      </c>
      <c r="F1378">
        <v>10</v>
      </c>
      <c r="G1378">
        <v>3008</v>
      </c>
      <c r="H1378" s="11">
        <v>45165</v>
      </c>
      <c r="I1378" s="57" t="s">
        <v>291</v>
      </c>
      <c r="J1378" s="57" t="s">
        <v>147</v>
      </c>
      <c r="K1378" s="57" t="s">
        <v>238</v>
      </c>
      <c r="L1378" t="s">
        <v>258</v>
      </c>
    </row>
    <row r="1379" spans="1:12" x14ac:dyDescent="0.3">
      <c r="A1379" s="57" t="s">
        <v>1642</v>
      </c>
      <c r="B1379" s="57" t="s">
        <v>275</v>
      </c>
      <c r="C1379" s="57" t="s">
        <v>276</v>
      </c>
      <c r="D1379" s="57" t="s">
        <v>151</v>
      </c>
      <c r="E1379" s="57" t="s">
        <v>260</v>
      </c>
      <c r="F1379">
        <v>0</v>
      </c>
      <c r="G1379">
        <v>5900</v>
      </c>
      <c r="H1379" s="11">
        <v>45414</v>
      </c>
      <c r="I1379" s="57" t="s">
        <v>92</v>
      </c>
      <c r="J1379" s="57" t="s">
        <v>248</v>
      </c>
      <c r="K1379" s="57" t="s">
        <v>239</v>
      </c>
      <c r="L1379" t="s">
        <v>240</v>
      </c>
    </row>
    <row r="1380" spans="1:12" x14ac:dyDescent="0.3">
      <c r="A1380" s="57" t="s">
        <v>1643</v>
      </c>
      <c r="B1380" s="57" t="s">
        <v>273</v>
      </c>
      <c r="C1380" s="57" t="s">
        <v>237</v>
      </c>
      <c r="D1380" s="57" t="s">
        <v>238</v>
      </c>
      <c r="E1380" s="57" t="s">
        <v>149</v>
      </c>
      <c r="F1380">
        <v>0</v>
      </c>
      <c r="G1380">
        <v>5900</v>
      </c>
      <c r="H1380" s="11">
        <v>45468</v>
      </c>
      <c r="I1380" s="57" t="s">
        <v>242</v>
      </c>
      <c r="J1380" s="57" t="s">
        <v>143</v>
      </c>
      <c r="K1380" s="57" t="s">
        <v>264</v>
      </c>
      <c r="L1380" t="s">
        <v>240</v>
      </c>
    </row>
    <row r="1381" spans="1:12" x14ac:dyDescent="0.3">
      <c r="A1381" s="57" t="s">
        <v>1644</v>
      </c>
      <c r="B1381" s="57" t="s">
        <v>245</v>
      </c>
      <c r="C1381" s="57" t="s">
        <v>237</v>
      </c>
      <c r="D1381" s="57" t="s">
        <v>152</v>
      </c>
      <c r="E1381" s="57" t="s">
        <v>142</v>
      </c>
      <c r="F1381">
        <v>7</v>
      </c>
      <c r="G1381">
        <v>2128</v>
      </c>
      <c r="H1381" s="11">
        <v>45293</v>
      </c>
      <c r="I1381" s="57" t="s">
        <v>92</v>
      </c>
      <c r="J1381" s="57" t="s">
        <v>145</v>
      </c>
      <c r="K1381" s="57" t="s">
        <v>197</v>
      </c>
      <c r="L1381" t="s">
        <v>258</v>
      </c>
    </row>
    <row r="1382" spans="1:12" x14ac:dyDescent="0.3">
      <c r="A1382" s="57" t="s">
        <v>1645</v>
      </c>
      <c r="B1382" s="57" t="s">
        <v>247</v>
      </c>
      <c r="C1382" s="57" t="s">
        <v>237</v>
      </c>
      <c r="D1382" s="57" t="s">
        <v>151</v>
      </c>
      <c r="E1382" s="57" t="s">
        <v>256</v>
      </c>
      <c r="F1382">
        <v>5</v>
      </c>
      <c r="G1382">
        <v>7000</v>
      </c>
      <c r="H1382" s="11">
        <v>45291</v>
      </c>
      <c r="I1382" s="57" t="s">
        <v>266</v>
      </c>
      <c r="J1382" s="57" t="s">
        <v>143</v>
      </c>
      <c r="K1382" s="57" t="s">
        <v>238</v>
      </c>
      <c r="L1382" t="s">
        <v>243</v>
      </c>
    </row>
    <row r="1383" spans="1:12" x14ac:dyDescent="0.3">
      <c r="A1383" s="57" t="s">
        <v>1646</v>
      </c>
      <c r="B1383" s="57" t="s">
        <v>273</v>
      </c>
      <c r="C1383" s="57" t="s">
        <v>237</v>
      </c>
      <c r="D1383" s="57" t="s">
        <v>238</v>
      </c>
      <c r="E1383" s="57" t="s">
        <v>260</v>
      </c>
      <c r="F1383">
        <v>7</v>
      </c>
      <c r="G1383">
        <v>3360</v>
      </c>
      <c r="H1383" s="11">
        <v>45307</v>
      </c>
      <c r="I1383" s="57" t="s">
        <v>95</v>
      </c>
      <c r="J1383" s="57" t="s">
        <v>143</v>
      </c>
      <c r="K1383" s="57" t="s">
        <v>264</v>
      </c>
      <c r="L1383" t="s">
        <v>258</v>
      </c>
    </row>
    <row r="1384" spans="1:12" x14ac:dyDescent="0.3">
      <c r="A1384" s="57" t="s">
        <v>1647</v>
      </c>
      <c r="B1384" s="57" t="s">
        <v>195</v>
      </c>
      <c r="C1384" s="57" t="s">
        <v>196</v>
      </c>
      <c r="D1384" s="57" t="s">
        <v>238</v>
      </c>
      <c r="E1384" s="57" t="s">
        <v>256</v>
      </c>
      <c r="F1384">
        <v>0</v>
      </c>
      <c r="G1384">
        <v>5900</v>
      </c>
      <c r="H1384" s="11">
        <v>45540</v>
      </c>
      <c r="I1384" s="57" t="s">
        <v>291</v>
      </c>
      <c r="J1384" s="57" t="s">
        <v>143</v>
      </c>
      <c r="K1384" s="57" t="s">
        <v>239</v>
      </c>
      <c r="L1384" t="s">
        <v>240</v>
      </c>
    </row>
    <row r="1385" spans="1:12" x14ac:dyDescent="0.3">
      <c r="A1385" s="57" t="s">
        <v>1648</v>
      </c>
      <c r="B1385" s="57" t="s">
        <v>262</v>
      </c>
      <c r="C1385" s="57" t="s">
        <v>263</v>
      </c>
      <c r="D1385" s="57" t="s">
        <v>146</v>
      </c>
      <c r="E1385" s="57" t="s">
        <v>252</v>
      </c>
      <c r="F1385">
        <v>10</v>
      </c>
      <c r="G1385">
        <v>7000</v>
      </c>
      <c r="H1385" s="11">
        <v>45173</v>
      </c>
      <c r="I1385" s="57" t="s">
        <v>242</v>
      </c>
      <c r="J1385" s="57" t="s">
        <v>147</v>
      </c>
      <c r="K1385" s="57" t="s">
        <v>239</v>
      </c>
      <c r="L1385" t="s">
        <v>243</v>
      </c>
    </row>
    <row r="1386" spans="1:12" x14ac:dyDescent="0.3">
      <c r="A1386" s="57" t="s">
        <v>1649</v>
      </c>
      <c r="B1386" s="57" t="s">
        <v>273</v>
      </c>
      <c r="C1386" s="57" t="s">
        <v>237</v>
      </c>
      <c r="D1386" s="57" t="s">
        <v>153</v>
      </c>
      <c r="E1386" s="57" t="s">
        <v>256</v>
      </c>
      <c r="F1386">
        <v>10</v>
      </c>
      <c r="G1386">
        <v>1255</v>
      </c>
      <c r="H1386" s="11">
        <v>45073</v>
      </c>
      <c r="I1386" s="57" t="s">
        <v>257</v>
      </c>
      <c r="J1386" s="57" t="s">
        <v>143</v>
      </c>
      <c r="K1386" s="57" t="s">
        <v>197</v>
      </c>
      <c r="L1386" t="s">
        <v>258</v>
      </c>
    </row>
    <row r="1387" spans="1:12" x14ac:dyDescent="0.3">
      <c r="A1387" s="57" t="s">
        <v>1650</v>
      </c>
      <c r="B1387" s="57" t="s">
        <v>236</v>
      </c>
      <c r="C1387" s="57" t="s">
        <v>237</v>
      </c>
      <c r="D1387" s="57" t="s">
        <v>238</v>
      </c>
      <c r="E1387" s="57" t="s">
        <v>142</v>
      </c>
      <c r="F1387">
        <v>0</v>
      </c>
      <c r="G1387">
        <v>5900</v>
      </c>
      <c r="H1387" s="11">
        <v>45174</v>
      </c>
      <c r="I1387" s="57" t="s">
        <v>266</v>
      </c>
      <c r="J1387" s="57" t="s">
        <v>248</v>
      </c>
      <c r="K1387" s="57" t="s">
        <v>239</v>
      </c>
      <c r="L1387" t="s">
        <v>240</v>
      </c>
    </row>
    <row r="1388" spans="1:12" x14ac:dyDescent="0.3">
      <c r="A1388" s="57" t="s">
        <v>1651</v>
      </c>
      <c r="B1388" s="57" t="s">
        <v>268</v>
      </c>
      <c r="C1388" s="57" t="s">
        <v>269</v>
      </c>
      <c r="D1388" s="57" t="s">
        <v>238</v>
      </c>
      <c r="E1388" s="57" t="s">
        <v>142</v>
      </c>
      <c r="F1388">
        <v>10</v>
      </c>
      <c r="G1388">
        <v>7000</v>
      </c>
      <c r="H1388" s="11">
        <v>45320</v>
      </c>
      <c r="I1388" s="57" t="s">
        <v>100</v>
      </c>
      <c r="J1388" s="57" t="s">
        <v>145</v>
      </c>
      <c r="K1388" s="57" t="s">
        <v>239</v>
      </c>
      <c r="L1388" t="s">
        <v>243</v>
      </c>
    </row>
    <row r="1389" spans="1:12" x14ac:dyDescent="0.3">
      <c r="A1389" s="57" t="s">
        <v>1652</v>
      </c>
      <c r="B1389" s="57" t="s">
        <v>236</v>
      </c>
      <c r="C1389" s="57" t="s">
        <v>237</v>
      </c>
      <c r="D1389" s="57" t="s">
        <v>152</v>
      </c>
      <c r="E1389" s="57" t="s">
        <v>256</v>
      </c>
      <c r="F1389">
        <v>0</v>
      </c>
      <c r="G1389">
        <v>2781</v>
      </c>
      <c r="H1389" s="11">
        <v>45269</v>
      </c>
      <c r="I1389" s="57" t="s">
        <v>291</v>
      </c>
      <c r="J1389" s="57" t="s">
        <v>147</v>
      </c>
      <c r="K1389" s="57" t="s">
        <v>239</v>
      </c>
      <c r="L1389" t="s">
        <v>258</v>
      </c>
    </row>
    <row r="1390" spans="1:12" x14ac:dyDescent="0.3">
      <c r="A1390" s="57" t="s">
        <v>1653</v>
      </c>
      <c r="B1390" s="57" t="s">
        <v>275</v>
      </c>
      <c r="C1390" s="57" t="s">
        <v>276</v>
      </c>
      <c r="D1390" s="57" t="s">
        <v>148</v>
      </c>
      <c r="E1390" s="57" t="s">
        <v>252</v>
      </c>
      <c r="F1390">
        <v>7</v>
      </c>
      <c r="G1390">
        <v>7000</v>
      </c>
      <c r="H1390" s="11">
        <v>45629</v>
      </c>
      <c r="I1390" s="57" t="s">
        <v>242</v>
      </c>
      <c r="J1390" s="57" t="s">
        <v>143</v>
      </c>
      <c r="K1390" s="57" t="s">
        <v>197</v>
      </c>
      <c r="L1390" t="s">
        <v>243</v>
      </c>
    </row>
    <row r="1391" spans="1:12" x14ac:dyDescent="0.3">
      <c r="A1391" s="57" t="s">
        <v>1654</v>
      </c>
      <c r="B1391" s="57" t="s">
        <v>247</v>
      </c>
      <c r="C1391" s="57" t="s">
        <v>237</v>
      </c>
      <c r="D1391" s="57" t="s">
        <v>238</v>
      </c>
      <c r="E1391" s="57" t="s">
        <v>260</v>
      </c>
      <c r="F1391">
        <v>7</v>
      </c>
      <c r="G1391">
        <v>2719</v>
      </c>
      <c r="H1391" s="11">
        <v>45357</v>
      </c>
      <c r="I1391" s="57" t="s">
        <v>100</v>
      </c>
      <c r="J1391" s="57" t="s">
        <v>248</v>
      </c>
      <c r="K1391" s="57" t="s">
        <v>197</v>
      </c>
      <c r="L1391" t="s">
        <v>258</v>
      </c>
    </row>
    <row r="1392" spans="1:12" x14ac:dyDescent="0.3">
      <c r="A1392" s="57" t="s">
        <v>1655</v>
      </c>
      <c r="B1392" s="57" t="s">
        <v>251</v>
      </c>
      <c r="C1392" s="57" t="s">
        <v>237</v>
      </c>
      <c r="D1392" s="57" t="s">
        <v>146</v>
      </c>
      <c r="E1392" s="57" t="s">
        <v>149</v>
      </c>
      <c r="F1392">
        <v>10</v>
      </c>
      <c r="G1392">
        <v>835</v>
      </c>
      <c r="H1392" s="11">
        <v>45328</v>
      </c>
      <c r="I1392" s="57" t="s">
        <v>291</v>
      </c>
      <c r="J1392" s="57" t="s">
        <v>143</v>
      </c>
      <c r="K1392" s="57" t="s">
        <v>239</v>
      </c>
      <c r="L1392" t="s">
        <v>302</v>
      </c>
    </row>
    <row r="1393" spans="1:12" x14ac:dyDescent="0.3">
      <c r="A1393" s="57" t="s">
        <v>1656</v>
      </c>
      <c r="B1393" s="57" t="s">
        <v>275</v>
      </c>
      <c r="C1393" s="57" t="s">
        <v>276</v>
      </c>
      <c r="D1393" s="57" t="s">
        <v>238</v>
      </c>
      <c r="E1393" s="57" t="s">
        <v>149</v>
      </c>
      <c r="F1393">
        <v>7</v>
      </c>
      <c r="G1393">
        <v>5900</v>
      </c>
      <c r="H1393" s="11">
        <v>45239</v>
      </c>
      <c r="I1393" s="57" t="s">
        <v>89</v>
      </c>
      <c r="J1393" s="57" t="s">
        <v>150</v>
      </c>
      <c r="K1393" s="57" t="s">
        <v>238</v>
      </c>
      <c r="L1393" t="s">
        <v>240</v>
      </c>
    </row>
    <row r="1394" spans="1:12" x14ac:dyDescent="0.3">
      <c r="A1394" s="57" t="s">
        <v>1657</v>
      </c>
      <c r="B1394" s="57" t="s">
        <v>268</v>
      </c>
      <c r="C1394" s="57" t="s">
        <v>269</v>
      </c>
      <c r="D1394" s="57" t="s">
        <v>151</v>
      </c>
      <c r="E1394" s="57" t="s">
        <v>142</v>
      </c>
      <c r="F1394">
        <v>5</v>
      </c>
      <c r="G1394">
        <v>7000</v>
      </c>
      <c r="H1394" s="11">
        <v>45495</v>
      </c>
      <c r="I1394" s="57" t="s">
        <v>257</v>
      </c>
      <c r="J1394" s="57" t="s">
        <v>143</v>
      </c>
      <c r="K1394" s="57" t="s">
        <v>239</v>
      </c>
      <c r="L1394" t="s">
        <v>243</v>
      </c>
    </row>
    <row r="1395" spans="1:12" x14ac:dyDescent="0.3">
      <c r="A1395" s="57" t="s">
        <v>1658</v>
      </c>
      <c r="B1395" s="57" t="s">
        <v>268</v>
      </c>
      <c r="C1395" s="57" t="s">
        <v>269</v>
      </c>
      <c r="D1395" s="57" t="s">
        <v>238</v>
      </c>
      <c r="E1395" s="57" t="s">
        <v>252</v>
      </c>
      <c r="F1395">
        <v>10</v>
      </c>
      <c r="G1395">
        <v>2862</v>
      </c>
      <c r="H1395" s="11">
        <v>45196</v>
      </c>
      <c r="I1395" s="57" t="s">
        <v>266</v>
      </c>
      <c r="J1395" s="57" t="s">
        <v>147</v>
      </c>
      <c r="K1395" s="57" t="s">
        <v>238</v>
      </c>
      <c r="L1395" t="s">
        <v>258</v>
      </c>
    </row>
    <row r="1396" spans="1:12" x14ac:dyDescent="0.3">
      <c r="A1396" s="57" t="s">
        <v>1659</v>
      </c>
      <c r="B1396" s="57" t="s">
        <v>245</v>
      </c>
      <c r="C1396" s="57" t="s">
        <v>237</v>
      </c>
      <c r="D1396" s="57" t="s">
        <v>151</v>
      </c>
      <c r="E1396" s="57" t="s">
        <v>149</v>
      </c>
      <c r="F1396">
        <v>10</v>
      </c>
      <c r="G1396">
        <v>1755</v>
      </c>
      <c r="H1396" s="11">
        <v>45386</v>
      </c>
      <c r="I1396" s="57" t="s">
        <v>242</v>
      </c>
      <c r="J1396" s="57" t="s">
        <v>145</v>
      </c>
      <c r="K1396" s="57" t="s">
        <v>264</v>
      </c>
      <c r="L1396" t="s">
        <v>258</v>
      </c>
    </row>
    <row r="1397" spans="1:12" x14ac:dyDescent="0.3">
      <c r="A1397" s="57" t="s">
        <v>1660</v>
      </c>
      <c r="B1397" s="57" t="s">
        <v>275</v>
      </c>
      <c r="C1397" s="57" t="s">
        <v>276</v>
      </c>
      <c r="D1397" s="57" t="s">
        <v>153</v>
      </c>
      <c r="E1397" s="57" t="s">
        <v>260</v>
      </c>
      <c r="F1397">
        <v>10</v>
      </c>
      <c r="G1397">
        <v>2867</v>
      </c>
      <c r="H1397" s="11">
        <v>45440</v>
      </c>
      <c r="I1397" s="57" t="s">
        <v>92</v>
      </c>
      <c r="J1397" s="57" t="s">
        <v>143</v>
      </c>
      <c r="K1397" s="57" t="s">
        <v>253</v>
      </c>
      <c r="L1397" t="s">
        <v>258</v>
      </c>
    </row>
    <row r="1398" spans="1:12" x14ac:dyDescent="0.3">
      <c r="A1398" s="57" t="s">
        <v>1661</v>
      </c>
      <c r="B1398" s="57" t="s">
        <v>247</v>
      </c>
      <c r="C1398" s="57" t="s">
        <v>237</v>
      </c>
      <c r="D1398" s="57" t="s">
        <v>238</v>
      </c>
      <c r="E1398" s="57" t="s">
        <v>256</v>
      </c>
      <c r="F1398">
        <v>3</v>
      </c>
      <c r="G1398">
        <v>5900</v>
      </c>
      <c r="H1398" s="11">
        <v>45520</v>
      </c>
      <c r="I1398" s="57" t="s">
        <v>291</v>
      </c>
      <c r="J1398" s="57" t="s">
        <v>143</v>
      </c>
      <c r="K1398" s="57" t="s">
        <v>238</v>
      </c>
      <c r="L1398" t="s">
        <v>240</v>
      </c>
    </row>
    <row r="1399" spans="1:12" x14ac:dyDescent="0.3">
      <c r="A1399" s="57" t="s">
        <v>1662</v>
      </c>
      <c r="B1399" s="57" t="s">
        <v>268</v>
      </c>
      <c r="C1399" s="57" t="s">
        <v>269</v>
      </c>
      <c r="D1399" s="57" t="s">
        <v>238</v>
      </c>
      <c r="E1399" s="57" t="s">
        <v>260</v>
      </c>
      <c r="F1399">
        <v>0</v>
      </c>
      <c r="G1399">
        <v>7000</v>
      </c>
      <c r="H1399" s="11">
        <v>45385</v>
      </c>
      <c r="I1399" s="57" t="s">
        <v>95</v>
      </c>
      <c r="J1399" s="57" t="s">
        <v>248</v>
      </c>
      <c r="K1399" s="57" t="s">
        <v>239</v>
      </c>
      <c r="L1399" t="s">
        <v>243</v>
      </c>
    </row>
    <row r="1400" spans="1:12" x14ac:dyDescent="0.3">
      <c r="A1400" s="57" t="s">
        <v>1663</v>
      </c>
      <c r="B1400" s="57" t="s">
        <v>268</v>
      </c>
      <c r="C1400" s="57" t="s">
        <v>269</v>
      </c>
      <c r="D1400" s="57" t="s">
        <v>238</v>
      </c>
      <c r="E1400" s="57" t="s">
        <v>252</v>
      </c>
      <c r="F1400">
        <v>1</v>
      </c>
      <c r="G1400">
        <v>474</v>
      </c>
      <c r="H1400" s="11">
        <v>45269</v>
      </c>
      <c r="I1400" s="57" t="s">
        <v>89</v>
      </c>
      <c r="J1400" s="57" t="s">
        <v>145</v>
      </c>
      <c r="K1400" s="57" t="s">
        <v>238</v>
      </c>
      <c r="L1400" t="s">
        <v>302</v>
      </c>
    </row>
    <row r="1401" spans="1:12" x14ac:dyDescent="0.3">
      <c r="A1401" s="57" t="s">
        <v>1664</v>
      </c>
      <c r="B1401" s="57" t="s">
        <v>273</v>
      </c>
      <c r="C1401" s="57" t="s">
        <v>237</v>
      </c>
      <c r="D1401" s="57" t="s">
        <v>151</v>
      </c>
      <c r="E1401" s="57" t="s">
        <v>256</v>
      </c>
      <c r="F1401">
        <v>1</v>
      </c>
      <c r="G1401">
        <v>5900</v>
      </c>
      <c r="H1401" s="11">
        <v>44960</v>
      </c>
      <c r="I1401" s="57" t="s">
        <v>257</v>
      </c>
      <c r="J1401" s="57" t="s">
        <v>147</v>
      </c>
      <c r="K1401" s="57" t="s">
        <v>239</v>
      </c>
      <c r="L1401" t="s">
        <v>240</v>
      </c>
    </row>
    <row r="1402" spans="1:12" x14ac:dyDescent="0.3">
      <c r="A1402" s="57" t="s">
        <v>1665</v>
      </c>
      <c r="B1402" s="57" t="s">
        <v>251</v>
      </c>
      <c r="C1402" s="57" t="s">
        <v>237</v>
      </c>
      <c r="D1402" s="57" t="s">
        <v>238</v>
      </c>
      <c r="E1402" s="57" t="s">
        <v>260</v>
      </c>
      <c r="F1402">
        <v>10</v>
      </c>
      <c r="G1402">
        <v>5900</v>
      </c>
      <c r="H1402" s="11">
        <v>44997</v>
      </c>
      <c r="I1402" s="57" t="s">
        <v>92</v>
      </c>
      <c r="J1402" s="57" t="s">
        <v>143</v>
      </c>
      <c r="K1402" s="57" t="s">
        <v>239</v>
      </c>
      <c r="L1402" t="s">
        <v>240</v>
      </c>
    </row>
    <row r="1403" spans="1:12" x14ac:dyDescent="0.3">
      <c r="A1403" s="57" t="s">
        <v>1666</v>
      </c>
      <c r="B1403" s="57" t="s">
        <v>245</v>
      </c>
      <c r="C1403" s="57" t="s">
        <v>237</v>
      </c>
      <c r="D1403" s="57" t="s">
        <v>152</v>
      </c>
      <c r="E1403" s="57" t="s">
        <v>142</v>
      </c>
      <c r="F1403">
        <v>5</v>
      </c>
      <c r="G1403">
        <v>5900</v>
      </c>
      <c r="H1403" s="11">
        <v>45247</v>
      </c>
      <c r="I1403" s="57" t="s">
        <v>89</v>
      </c>
      <c r="J1403" s="57" t="s">
        <v>248</v>
      </c>
      <c r="K1403" s="57" t="s">
        <v>197</v>
      </c>
      <c r="L1403" t="s">
        <v>240</v>
      </c>
    </row>
    <row r="1404" spans="1:12" x14ac:dyDescent="0.3">
      <c r="A1404" s="57" t="s">
        <v>1667</v>
      </c>
      <c r="B1404" s="57" t="s">
        <v>268</v>
      </c>
      <c r="C1404" s="57" t="s">
        <v>269</v>
      </c>
      <c r="D1404" s="57" t="s">
        <v>153</v>
      </c>
      <c r="E1404" s="57" t="s">
        <v>252</v>
      </c>
      <c r="F1404">
        <v>7</v>
      </c>
      <c r="G1404">
        <v>3280</v>
      </c>
      <c r="H1404" s="11">
        <v>45117</v>
      </c>
      <c r="I1404" s="57" t="s">
        <v>100</v>
      </c>
      <c r="J1404" s="57" t="s">
        <v>150</v>
      </c>
      <c r="K1404" s="57" t="s">
        <v>264</v>
      </c>
      <c r="L1404" t="s">
        <v>258</v>
      </c>
    </row>
    <row r="1405" spans="1:12" x14ac:dyDescent="0.3">
      <c r="A1405" s="57" t="s">
        <v>1668</v>
      </c>
      <c r="B1405" s="57" t="s">
        <v>251</v>
      </c>
      <c r="C1405" s="57" t="s">
        <v>237</v>
      </c>
      <c r="D1405" s="57" t="s">
        <v>144</v>
      </c>
      <c r="E1405" s="57" t="s">
        <v>260</v>
      </c>
      <c r="F1405">
        <v>7</v>
      </c>
      <c r="G1405">
        <v>7000</v>
      </c>
      <c r="H1405" s="11">
        <v>45551</v>
      </c>
      <c r="I1405" s="57" t="s">
        <v>242</v>
      </c>
      <c r="J1405" s="57" t="s">
        <v>150</v>
      </c>
      <c r="K1405" s="57" t="s">
        <v>238</v>
      </c>
      <c r="L1405" t="s">
        <v>243</v>
      </c>
    </row>
    <row r="1406" spans="1:12" x14ac:dyDescent="0.3">
      <c r="A1406" s="57" t="s">
        <v>1669</v>
      </c>
      <c r="B1406" s="57" t="s">
        <v>262</v>
      </c>
      <c r="C1406" s="57" t="s">
        <v>263</v>
      </c>
      <c r="D1406" s="57" t="s">
        <v>238</v>
      </c>
      <c r="E1406" s="57" t="s">
        <v>142</v>
      </c>
      <c r="F1406">
        <v>10</v>
      </c>
      <c r="G1406">
        <v>5900</v>
      </c>
      <c r="H1406" s="11">
        <v>45041</v>
      </c>
      <c r="I1406" s="57" t="s">
        <v>291</v>
      </c>
      <c r="J1406" s="57" t="s">
        <v>145</v>
      </c>
      <c r="K1406" s="57" t="s">
        <v>238</v>
      </c>
      <c r="L1406" t="s">
        <v>240</v>
      </c>
    </row>
    <row r="1407" spans="1:12" x14ac:dyDescent="0.3">
      <c r="A1407" s="57" t="s">
        <v>1670</v>
      </c>
      <c r="B1407" s="57" t="s">
        <v>273</v>
      </c>
      <c r="C1407" s="57" t="s">
        <v>237</v>
      </c>
      <c r="D1407" s="57" t="s">
        <v>151</v>
      </c>
      <c r="E1407" s="57" t="s">
        <v>142</v>
      </c>
      <c r="F1407">
        <v>10</v>
      </c>
      <c r="G1407">
        <v>5900</v>
      </c>
      <c r="H1407" s="11">
        <v>45204</v>
      </c>
      <c r="I1407" s="57" t="s">
        <v>266</v>
      </c>
      <c r="J1407" s="57" t="s">
        <v>248</v>
      </c>
      <c r="K1407" s="57" t="s">
        <v>197</v>
      </c>
      <c r="L1407" t="s">
        <v>240</v>
      </c>
    </row>
    <row r="1408" spans="1:12" x14ac:dyDescent="0.3">
      <c r="A1408" s="57" t="s">
        <v>1671</v>
      </c>
      <c r="B1408" s="57" t="s">
        <v>268</v>
      </c>
      <c r="C1408" s="57" t="s">
        <v>269</v>
      </c>
      <c r="D1408" s="57" t="s">
        <v>141</v>
      </c>
      <c r="E1408" s="57" t="s">
        <v>149</v>
      </c>
      <c r="F1408">
        <v>5</v>
      </c>
      <c r="G1408">
        <v>5900</v>
      </c>
      <c r="H1408" s="11">
        <v>45333</v>
      </c>
      <c r="I1408" s="57" t="s">
        <v>266</v>
      </c>
      <c r="J1408" s="57" t="s">
        <v>145</v>
      </c>
      <c r="K1408" s="57" t="s">
        <v>239</v>
      </c>
      <c r="L1408" t="s">
        <v>240</v>
      </c>
    </row>
    <row r="1409" spans="1:12" x14ac:dyDescent="0.3">
      <c r="A1409" s="57" t="s">
        <v>1672</v>
      </c>
      <c r="B1409" s="57" t="s">
        <v>236</v>
      </c>
      <c r="C1409" s="57" t="s">
        <v>237</v>
      </c>
      <c r="D1409" s="57" t="s">
        <v>152</v>
      </c>
      <c r="E1409" s="57" t="s">
        <v>142</v>
      </c>
      <c r="F1409">
        <v>1</v>
      </c>
      <c r="G1409">
        <v>498</v>
      </c>
      <c r="H1409" s="11">
        <v>45273</v>
      </c>
      <c r="I1409" s="57" t="s">
        <v>242</v>
      </c>
      <c r="J1409" s="57" t="s">
        <v>150</v>
      </c>
      <c r="K1409" s="57" t="s">
        <v>239</v>
      </c>
      <c r="L1409" t="s">
        <v>302</v>
      </c>
    </row>
    <row r="1410" spans="1:12" x14ac:dyDescent="0.3">
      <c r="A1410" s="57" t="s">
        <v>1673</v>
      </c>
      <c r="B1410" s="57" t="s">
        <v>268</v>
      </c>
      <c r="C1410" s="57" t="s">
        <v>269</v>
      </c>
      <c r="D1410" s="57" t="s">
        <v>144</v>
      </c>
      <c r="E1410" s="57" t="s">
        <v>142</v>
      </c>
      <c r="F1410">
        <v>10</v>
      </c>
      <c r="G1410">
        <v>368</v>
      </c>
      <c r="H1410" s="11">
        <v>45271</v>
      </c>
      <c r="I1410" s="57" t="s">
        <v>266</v>
      </c>
      <c r="J1410" s="57" t="s">
        <v>150</v>
      </c>
      <c r="K1410" s="57" t="s">
        <v>253</v>
      </c>
      <c r="L1410" t="s">
        <v>302</v>
      </c>
    </row>
    <row r="1411" spans="1:12" x14ac:dyDescent="0.3">
      <c r="A1411" s="57" t="s">
        <v>1674</v>
      </c>
      <c r="B1411" s="57" t="s">
        <v>275</v>
      </c>
      <c r="C1411" s="57" t="s">
        <v>276</v>
      </c>
      <c r="D1411" s="57" t="s">
        <v>144</v>
      </c>
      <c r="E1411" s="57" t="s">
        <v>149</v>
      </c>
      <c r="F1411">
        <v>1</v>
      </c>
      <c r="G1411">
        <v>7000</v>
      </c>
      <c r="H1411" s="11">
        <v>45546</v>
      </c>
      <c r="I1411" s="57" t="s">
        <v>242</v>
      </c>
      <c r="J1411" s="57" t="s">
        <v>150</v>
      </c>
      <c r="K1411" s="57" t="s">
        <v>197</v>
      </c>
      <c r="L1411" t="s">
        <v>243</v>
      </c>
    </row>
    <row r="1412" spans="1:12" x14ac:dyDescent="0.3">
      <c r="A1412" s="57" t="s">
        <v>1675</v>
      </c>
      <c r="B1412" s="57" t="s">
        <v>268</v>
      </c>
      <c r="C1412" s="57" t="s">
        <v>269</v>
      </c>
      <c r="D1412" s="57" t="s">
        <v>238</v>
      </c>
      <c r="E1412" s="57" t="s">
        <v>256</v>
      </c>
      <c r="F1412">
        <v>10</v>
      </c>
      <c r="G1412">
        <v>721</v>
      </c>
      <c r="H1412" s="11">
        <v>45119</v>
      </c>
      <c r="I1412" s="57" t="s">
        <v>92</v>
      </c>
      <c r="J1412" s="57" t="s">
        <v>147</v>
      </c>
      <c r="K1412" s="57" t="s">
        <v>197</v>
      </c>
      <c r="L1412" t="s">
        <v>302</v>
      </c>
    </row>
    <row r="1413" spans="1:12" x14ac:dyDescent="0.3">
      <c r="A1413" s="57" t="s">
        <v>1676</v>
      </c>
      <c r="B1413" s="57" t="s">
        <v>247</v>
      </c>
      <c r="C1413" s="57" t="s">
        <v>237</v>
      </c>
      <c r="D1413" s="57" t="s">
        <v>153</v>
      </c>
      <c r="E1413" s="57" t="s">
        <v>260</v>
      </c>
      <c r="F1413">
        <v>7</v>
      </c>
      <c r="G1413">
        <v>5900</v>
      </c>
      <c r="H1413" s="11">
        <v>45148</v>
      </c>
      <c r="I1413" s="57" t="s">
        <v>291</v>
      </c>
      <c r="J1413" s="57" t="s">
        <v>143</v>
      </c>
      <c r="K1413" s="57" t="s">
        <v>238</v>
      </c>
      <c r="L1413" t="s">
        <v>240</v>
      </c>
    </row>
    <row r="1414" spans="1:12" x14ac:dyDescent="0.3">
      <c r="A1414" s="57" t="s">
        <v>1677</v>
      </c>
      <c r="B1414" s="57" t="s">
        <v>273</v>
      </c>
      <c r="C1414" s="57" t="s">
        <v>237</v>
      </c>
      <c r="D1414" s="57" t="s">
        <v>151</v>
      </c>
      <c r="E1414" s="57" t="s">
        <v>260</v>
      </c>
      <c r="F1414">
        <v>7</v>
      </c>
      <c r="G1414">
        <v>7000</v>
      </c>
      <c r="H1414" s="11">
        <v>45502</v>
      </c>
      <c r="I1414" s="57" t="s">
        <v>95</v>
      </c>
      <c r="J1414" s="57" t="s">
        <v>248</v>
      </c>
      <c r="K1414" s="57" t="s">
        <v>239</v>
      </c>
      <c r="L1414" t="s">
        <v>243</v>
      </c>
    </row>
    <row r="1415" spans="1:12" x14ac:dyDescent="0.3">
      <c r="A1415" s="57" t="s">
        <v>1678</v>
      </c>
      <c r="B1415" s="57" t="s">
        <v>275</v>
      </c>
      <c r="C1415" s="57" t="s">
        <v>276</v>
      </c>
      <c r="D1415" s="57" t="s">
        <v>238</v>
      </c>
      <c r="E1415" s="57" t="s">
        <v>256</v>
      </c>
      <c r="F1415">
        <v>10</v>
      </c>
      <c r="G1415">
        <v>100</v>
      </c>
      <c r="H1415" s="11">
        <v>45314</v>
      </c>
      <c r="I1415" s="57" t="s">
        <v>291</v>
      </c>
      <c r="J1415" s="57" t="s">
        <v>248</v>
      </c>
      <c r="K1415" s="57" t="s">
        <v>249</v>
      </c>
      <c r="L1415" t="s">
        <v>302</v>
      </c>
    </row>
    <row r="1416" spans="1:12" x14ac:dyDescent="0.3">
      <c r="A1416" s="57" t="s">
        <v>1679</v>
      </c>
      <c r="B1416" s="57" t="s">
        <v>275</v>
      </c>
      <c r="C1416" s="57" t="s">
        <v>276</v>
      </c>
      <c r="D1416" s="57" t="s">
        <v>153</v>
      </c>
      <c r="E1416" s="57" t="s">
        <v>260</v>
      </c>
      <c r="F1416">
        <v>3</v>
      </c>
      <c r="G1416">
        <v>7000</v>
      </c>
      <c r="H1416" s="11">
        <v>45135</v>
      </c>
      <c r="I1416" s="57" t="s">
        <v>266</v>
      </c>
      <c r="J1416" s="57" t="s">
        <v>145</v>
      </c>
      <c r="K1416" s="57" t="s">
        <v>264</v>
      </c>
      <c r="L1416" t="s">
        <v>243</v>
      </c>
    </row>
    <row r="1417" spans="1:12" x14ac:dyDescent="0.3">
      <c r="A1417" s="57" t="s">
        <v>1680</v>
      </c>
      <c r="B1417" s="57" t="s">
        <v>268</v>
      </c>
      <c r="C1417" s="57" t="s">
        <v>269</v>
      </c>
      <c r="D1417" s="57" t="s">
        <v>148</v>
      </c>
      <c r="E1417" s="57" t="s">
        <v>252</v>
      </c>
      <c r="F1417">
        <v>7</v>
      </c>
      <c r="G1417">
        <v>7000</v>
      </c>
      <c r="H1417" s="11">
        <v>45080</v>
      </c>
      <c r="I1417" s="57" t="s">
        <v>92</v>
      </c>
      <c r="J1417" s="57" t="s">
        <v>147</v>
      </c>
      <c r="K1417" s="57" t="s">
        <v>264</v>
      </c>
      <c r="L1417" t="s">
        <v>243</v>
      </c>
    </row>
    <row r="1418" spans="1:12" x14ac:dyDescent="0.3">
      <c r="A1418" s="57" t="s">
        <v>1681</v>
      </c>
      <c r="B1418" s="57" t="s">
        <v>273</v>
      </c>
      <c r="C1418" s="57" t="s">
        <v>237</v>
      </c>
      <c r="D1418" s="57" t="s">
        <v>152</v>
      </c>
      <c r="E1418" s="57" t="s">
        <v>252</v>
      </c>
      <c r="F1418">
        <v>0</v>
      </c>
      <c r="G1418">
        <v>3290</v>
      </c>
      <c r="H1418" s="11">
        <v>45596</v>
      </c>
      <c r="I1418" s="57" t="s">
        <v>291</v>
      </c>
      <c r="J1418" s="57" t="s">
        <v>248</v>
      </c>
      <c r="K1418" s="57" t="s">
        <v>239</v>
      </c>
      <c r="L1418" t="s">
        <v>258</v>
      </c>
    </row>
    <row r="1419" spans="1:12" x14ac:dyDescent="0.3">
      <c r="A1419" s="57" t="s">
        <v>1682</v>
      </c>
      <c r="B1419" s="57" t="s">
        <v>255</v>
      </c>
      <c r="C1419" s="57" t="s">
        <v>237</v>
      </c>
      <c r="D1419" s="57" t="s">
        <v>141</v>
      </c>
      <c r="E1419" s="57" t="s">
        <v>142</v>
      </c>
      <c r="F1419">
        <v>5</v>
      </c>
      <c r="G1419">
        <v>7000</v>
      </c>
      <c r="H1419" s="11">
        <v>45604</v>
      </c>
      <c r="I1419" s="57" t="s">
        <v>89</v>
      </c>
      <c r="J1419" s="57" t="s">
        <v>150</v>
      </c>
      <c r="K1419" s="57" t="s">
        <v>238</v>
      </c>
      <c r="L1419" t="s">
        <v>243</v>
      </c>
    </row>
    <row r="1420" spans="1:12" x14ac:dyDescent="0.3">
      <c r="A1420" s="57" t="s">
        <v>1683</v>
      </c>
      <c r="B1420" s="57" t="s">
        <v>262</v>
      </c>
      <c r="C1420" s="57" t="s">
        <v>263</v>
      </c>
      <c r="D1420" s="57" t="s">
        <v>153</v>
      </c>
      <c r="E1420" s="57" t="s">
        <v>142</v>
      </c>
      <c r="F1420">
        <v>10</v>
      </c>
      <c r="G1420">
        <v>2512</v>
      </c>
      <c r="H1420" s="11">
        <v>45176</v>
      </c>
      <c r="I1420" s="57" t="s">
        <v>100</v>
      </c>
      <c r="J1420" s="57" t="s">
        <v>150</v>
      </c>
      <c r="K1420" s="57" t="s">
        <v>249</v>
      </c>
      <c r="L1420" t="s">
        <v>258</v>
      </c>
    </row>
    <row r="1421" spans="1:12" x14ac:dyDescent="0.3">
      <c r="A1421" s="57" t="s">
        <v>1684</v>
      </c>
      <c r="B1421" s="57" t="s">
        <v>195</v>
      </c>
      <c r="C1421" s="57" t="s">
        <v>196</v>
      </c>
      <c r="D1421" s="57" t="s">
        <v>141</v>
      </c>
      <c r="E1421" s="57" t="s">
        <v>149</v>
      </c>
      <c r="F1421">
        <v>10</v>
      </c>
      <c r="G1421">
        <v>4048</v>
      </c>
      <c r="H1421" s="11">
        <v>44930</v>
      </c>
      <c r="I1421" s="57" t="s">
        <v>266</v>
      </c>
      <c r="J1421" s="57" t="s">
        <v>143</v>
      </c>
      <c r="K1421" s="57" t="s">
        <v>239</v>
      </c>
      <c r="L1421" t="s">
        <v>240</v>
      </c>
    </row>
    <row r="1422" spans="1:12" x14ac:dyDescent="0.3">
      <c r="A1422" s="57" t="s">
        <v>1685</v>
      </c>
      <c r="B1422" s="57" t="s">
        <v>251</v>
      </c>
      <c r="C1422" s="57" t="s">
        <v>237</v>
      </c>
      <c r="D1422" s="57" t="s">
        <v>141</v>
      </c>
      <c r="E1422" s="57" t="s">
        <v>260</v>
      </c>
      <c r="F1422">
        <v>1</v>
      </c>
      <c r="G1422">
        <v>5900</v>
      </c>
      <c r="H1422" s="11">
        <v>45380</v>
      </c>
      <c r="I1422" s="57" t="s">
        <v>95</v>
      </c>
      <c r="J1422" s="57" t="s">
        <v>143</v>
      </c>
      <c r="K1422" s="57" t="s">
        <v>239</v>
      </c>
      <c r="L1422" t="s">
        <v>240</v>
      </c>
    </row>
    <row r="1423" spans="1:12" x14ac:dyDescent="0.3">
      <c r="A1423" s="57" t="s">
        <v>1686</v>
      </c>
      <c r="B1423" s="57" t="s">
        <v>195</v>
      </c>
      <c r="C1423" s="57" t="s">
        <v>196</v>
      </c>
      <c r="D1423" s="57" t="s">
        <v>146</v>
      </c>
      <c r="E1423" s="57" t="s">
        <v>142</v>
      </c>
      <c r="F1423">
        <v>7</v>
      </c>
      <c r="G1423">
        <v>7000</v>
      </c>
      <c r="H1423" s="11">
        <v>45019</v>
      </c>
      <c r="I1423" s="57" t="s">
        <v>89</v>
      </c>
      <c r="J1423" s="57" t="s">
        <v>150</v>
      </c>
      <c r="K1423" s="57" t="s">
        <v>239</v>
      </c>
      <c r="L1423" t="s">
        <v>243</v>
      </c>
    </row>
    <row r="1424" spans="1:12" x14ac:dyDescent="0.3">
      <c r="A1424" s="57" t="s">
        <v>1687</v>
      </c>
      <c r="B1424" s="57" t="s">
        <v>255</v>
      </c>
      <c r="C1424" s="57" t="s">
        <v>237</v>
      </c>
      <c r="D1424" s="57" t="s">
        <v>141</v>
      </c>
      <c r="E1424" s="57" t="s">
        <v>260</v>
      </c>
      <c r="F1424">
        <v>0</v>
      </c>
      <c r="G1424">
        <v>7000</v>
      </c>
      <c r="H1424" s="11">
        <v>45288</v>
      </c>
      <c r="I1424" s="57" t="s">
        <v>257</v>
      </c>
      <c r="J1424" s="57" t="s">
        <v>150</v>
      </c>
      <c r="K1424" s="57" t="s">
        <v>238</v>
      </c>
      <c r="L1424" t="s">
        <v>243</v>
      </c>
    </row>
    <row r="1425" spans="1:12" x14ac:dyDescent="0.3">
      <c r="A1425" s="57" t="s">
        <v>1688</v>
      </c>
      <c r="B1425" s="57" t="s">
        <v>236</v>
      </c>
      <c r="C1425" s="57" t="s">
        <v>237</v>
      </c>
      <c r="D1425" s="57" t="s">
        <v>151</v>
      </c>
      <c r="E1425" s="57" t="s">
        <v>256</v>
      </c>
      <c r="F1425">
        <v>7</v>
      </c>
      <c r="G1425">
        <v>5900</v>
      </c>
      <c r="H1425" s="11">
        <v>45177</v>
      </c>
      <c r="I1425" s="57" t="s">
        <v>257</v>
      </c>
      <c r="J1425" s="57" t="s">
        <v>248</v>
      </c>
      <c r="K1425" s="57" t="s">
        <v>249</v>
      </c>
      <c r="L1425" t="s">
        <v>240</v>
      </c>
    </row>
    <row r="1426" spans="1:12" x14ac:dyDescent="0.3">
      <c r="A1426" s="57" t="s">
        <v>1689</v>
      </c>
      <c r="B1426" s="57" t="s">
        <v>255</v>
      </c>
      <c r="C1426" s="57" t="s">
        <v>237</v>
      </c>
      <c r="D1426" s="57" t="s">
        <v>151</v>
      </c>
      <c r="E1426" s="57" t="s">
        <v>260</v>
      </c>
      <c r="F1426">
        <v>10</v>
      </c>
      <c r="G1426">
        <v>7000</v>
      </c>
      <c r="H1426" s="11">
        <v>45540</v>
      </c>
      <c r="I1426" s="57" t="s">
        <v>242</v>
      </c>
      <c r="J1426" s="57" t="s">
        <v>248</v>
      </c>
      <c r="K1426" s="57" t="s">
        <v>238</v>
      </c>
      <c r="L1426" t="s">
        <v>243</v>
      </c>
    </row>
    <row r="1427" spans="1:12" x14ac:dyDescent="0.3">
      <c r="A1427" s="57" t="s">
        <v>1690</v>
      </c>
      <c r="B1427" s="57" t="s">
        <v>245</v>
      </c>
      <c r="C1427" s="57" t="s">
        <v>237</v>
      </c>
      <c r="D1427" s="57" t="s">
        <v>152</v>
      </c>
      <c r="E1427" s="57" t="s">
        <v>149</v>
      </c>
      <c r="F1427">
        <v>7</v>
      </c>
      <c r="G1427">
        <v>7000</v>
      </c>
      <c r="H1427" s="11">
        <v>45120</v>
      </c>
      <c r="I1427" s="57" t="s">
        <v>100</v>
      </c>
      <c r="J1427" s="57" t="s">
        <v>248</v>
      </c>
      <c r="K1427" s="57" t="s">
        <v>239</v>
      </c>
      <c r="L1427" t="s">
        <v>243</v>
      </c>
    </row>
    <row r="1428" spans="1:12" x14ac:dyDescent="0.3">
      <c r="A1428" s="57" t="s">
        <v>1691</v>
      </c>
      <c r="B1428" s="57" t="s">
        <v>247</v>
      </c>
      <c r="C1428" s="57" t="s">
        <v>237</v>
      </c>
      <c r="D1428" s="57" t="s">
        <v>151</v>
      </c>
      <c r="E1428" s="57" t="s">
        <v>260</v>
      </c>
      <c r="F1428">
        <v>10</v>
      </c>
      <c r="G1428">
        <v>5900</v>
      </c>
      <c r="H1428" s="11">
        <v>45579</v>
      </c>
      <c r="I1428" s="57" t="s">
        <v>92</v>
      </c>
      <c r="J1428" s="57" t="s">
        <v>150</v>
      </c>
      <c r="K1428" s="57" t="s">
        <v>264</v>
      </c>
      <c r="L1428" t="s">
        <v>240</v>
      </c>
    </row>
    <row r="1429" spans="1:12" x14ac:dyDescent="0.3">
      <c r="A1429" s="57" t="s">
        <v>1692</v>
      </c>
      <c r="B1429" s="57" t="s">
        <v>195</v>
      </c>
      <c r="C1429" s="57" t="s">
        <v>196</v>
      </c>
      <c r="D1429" s="57" t="s">
        <v>238</v>
      </c>
      <c r="E1429" s="57" t="s">
        <v>142</v>
      </c>
      <c r="F1429">
        <v>1</v>
      </c>
      <c r="G1429">
        <v>7000</v>
      </c>
      <c r="H1429" s="11">
        <v>44942</v>
      </c>
      <c r="I1429" s="57" t="s">
        <v>266</v>
      </c>
      <c r="J1429" s="57" t="s">
        <v>150</v>
      </c>
      <c r="K1429" s="57" t="s">
        <v>238</v>
      </c>
      <c r="L1429" t="s">
        <v>243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A8E5-30E4-447F-9E3D-1597224B59F7}">
  <dimension ref="A2:J36"/>
  <sheetViews>
    <sheetView topLeftCell="A4" zoomScale="115" workbookViewId="0">
      <selection activeCell="E29" sqref="E29"/>
    </sheetView>
  </sheetViews>
  <sheetFormatPr defaultRowHeight="14.4" x14ac:dyDescent="0.3"/>
  <cols>
    <col min="1" max="1" width="12.5546875" bestFit="1" customWidth="1"/>
    <col min="2" max="2" width="17.6640625" customWidth="1"/>
    <col min="3" max="3" width="13" bestFit="1" customWidth="1"/>
    <col min="4" max="4" width="12.5546875" bestFit="1" customWidth="1"/>
    <col min="5" max="5" width="17.33203125" bestFit="1" customWidth="1"/>
    <col min="6" max="6" width="15.33203125" customWidth="1"/>
    <col min="7" max="7" width="12.5546875" bestFit="1" customWidth="1"/>
    <col min="8" max="8" width="14.6640625" bestFit="1" customWidth="1"/>
  </cols>
  <sheetData>
    <row r="2" spans="1:10" x14ac:dyDescent="0.3">
      <c r="A2" s="75" t="s">
        <v>1722</v>
      </c>
      <c r="B2" s="73"/>
      <c r="C2" s="73"/>
      <c r="D2" s="73"/>
      <c r="E2" s="73"/>
      <c r="F2" s="73"/>
      <c r="G2" s="73"/>
      <c r="H2" s="73"/>
      <c r="I2" s="73"/>
    </row>
    <row r="3" spans="1:10" ht="15" thickBot="1" x14ac:dyDescent="0.35"/>
    <row r="4" spans="1:10" ht="22.95" customHeight="1" thickBot="1" x14ac:dyDescent="0.35">
      <c r="A4" s="58" t="s">
        <v>198</v>
      </c>
      <c r="B4" s="59" t="s">
        <v>199</v>
      </c>
      <c r="D4" s="58" t="s">
        <v>198</v>
      </c>
      <c r="E4" s="59" t="s">
        <v>205</v>
      </c>
      <c r="G4" s="58" t="s">
        <v>198</v>
      </c>
      <c r="H4" s="59" t="s">
        <v>206</v>
      </c>
    </row>
    <row r="5" spans="1:10" ht="15" thickBot="1" x14ac:dyDescent="0.35">
      <c r="A5" s="60" t="s">
        <v>200</v>
      </c>
      <c r="B5" s="68">
        <v>1000</v>
      </c>
      <c r="C5" s="69"/>
      <c r="D5" s="47" t="s">
        <v>200</v>
      </c>
      <c r="E5" s="68" t="s">
        <v>1697</v>
      </c>
      <c r="G5" s="60" t="s">
        <v>200</v>
      </c>
      <c r="H5" s="61">
        <v>165</v>
      </c>
    </row>
    <row r="6" spans="1:10" ht="15" thickBot="1" x14ac:dyDescent="0.35">
      <c r="A6" s="60" t="s">
        <v>1693</v>
      </c>
      <c r="B6" s="68">
        <v>1900</v>
      </c>
      <c r="D6" s="60" t="s">
        <v>201</v>
      </c>
      <c r="E6" s="68" t="s">
        <v>1698</v>
      </c>
      <c r="G6" s="60" t="s">
        <v>201</v>
      </c>
      <c r="H6" s="61">
        <v>234</v>
      </c>
    </row>
    <row r="7" spans="1:10" ht="15" thickBot="1" x14ac:dyDescent="0.35">
      <c r="A7" s="60" t="s">
        <v>1694</v>
      </c>
      <c r="B7" s="68">
        <v>1040</v>
      </c>
      <c r="D7" s="60" t="s">
        <v>202</v>
      </c>
      <c r="E7" s="68" t="s">
        <v>1698</v>
      </c>
      <c r="G7" s="60" t="s">
        <v>202</v>
      </c>
      <c r="H7" s="61">
        <v>567</v>
      </c>
    </row>
    <row r="8" spans="1:10" ht="15" thickBot="1" x14ac:dyDescent="0.35">
      <c r="A8" s="60" t="s">
        <v>1695</v>
      </c>
      <c r="B8" s="68">
        <v>1400</v>
      </c>
      <c r="D8" s="60" t="s">
        <v>203</v>
      </c>
      <c r="E8" s="68" t="s">
        <v>1699</v>
      </c>
      <c r="G8" s="60" t="s">
        <v>203</v>
      </c>
      <c r="H8" s="61">
        <v>400</v>
      </c>
      <c r="J8" s="64" t="s">
        <v>228</v>
      </c>
    </row>
    <row r="9" spans="1:10" ht="15" thickBot="1" x14ac:dyDescent="0.35">
      <c r="A9" s="62" t="s">
        <v>1696</v>
      </c>
      <c r="B9" s="70">
        <v>1700</v>
      </c>
      <c r="D9" s="62" t="s">
        <v>204</v>
      </c>
      <c r="E9" s="70" t="s">
        <v>1700</v>
      </c>
      <c r="G9" s="62" t="s">
        <v>204</v>
      </c>
      <c r="H9" s="63">
        <v>190</v>
      </c>
    </row>
    <row r="11" spans="1:10" ht="15" thickBot="1" x14ac:dyDescent="0.35"/>
    <row r="12" spans="1:10" x14ac:dyDescent="0.3">
      <c r="A12" s="58" t="s">
        <v>207</v>
      </c>
      <c r="B12" s="59" t="s">
        <v>208</v>
      </c>
      <c r="D12" s="58" t="s">
        <v>207</v>
      </c>
      <c r="E12" s="59" t="s">
        <v>216</v>
      </c>
      <c r="G12" s="58" t="s">
        <v>207</v>
      </c>
      <c r="H12" s="59" t="s">
        <v>217</v>
      </c>
    </row>
    <row r="13" spans="1:10" x14ac:dyDescent="0.3">
      <c r="A13" s="60" t="s">
        <v>209</v>
      </c>
      <c r="B13" s="61" t="s">
        <v>1804</v>
      </c>
      <c r="D13" s="60" t="s">
        <v>209</v>
      </c>
      <c r="E13" s="61" t="s">
        <v>1809</v>
      </c>
      <c r="G13" s="60" t="s">
        <v>209</v>
      </c>
      <c r="H13" s="61" t="s">
        <v>1701</v>
      </c>
    </row>
    <row r="14" spans="1:10" x14ac:dyDescent="0.3">
      <c r="A14" s="60" t="s">
        <v>210</v>
      </c>
      <c r="B14" s="61" t="s">
        <v>1805</v>
      </c>
      <c r="D14" s="60" t="s">
        <v>210</v>
      </c>
      <c r="E14" s="61" t="s">
        <v>1810</v>
      </c>
      <c r="G14" s="60" t="s">
        <v>210</v>
      </c>
      <c r="H14" s="61" t="s">
        <v>1701</v>
      </c>
    </row>
    <row r="15" spans="1:10" x14ac:dyDescent="0.3">
      <c r="A15" s="60" t="s">
        <v>211</v>
      </c>
      <c r="B15" s="61" t="s">
        <v>1806</v>
      </c>
      <c r="D15" s="60" t="s">
        <v>211</v>
      </c>
      <c r="E15" s="61" t="s">
        <v>1811</v>
      </c>
      <c r="G15" s="60" t="s">
        <v>211</v>
      </c>
      <c r="H15" s="61" t="s">
        <v>1701</v>
      </c>
    </row>
    <row r="16" spans="1:10" x14ac:dyDescent="0.3">
      <c r="A16" s="60" t="s">
        <v>212</v>
      </c>
      <c r="B16" s="61" t="s">
        <v>1807</v>
      </c>
      <c r="D16" s="60" t="s">
        <v>212</v>
      </c>
      <c r="E16" s="61" t="s">
        <v>1812</v>
      </c>
      <c r="G16" s="60" t="s">
        <v>212</v>
      </c>
      <c r="H16" s="61" t="s">
        <v>1701</v>
      </c>
    </row>
    <row r="17" spans="1:8" x14ac:dyDescent="0.3">
      <c r="A17" s="60" t="s">
        <v>213</v>
      </c>
      <c r="B17" s="61" t="s">
        <v>1806</v>
      </c>
      <c r="D17" s="60" t="s">
        <v>213</v>
      </c>
      <c r="E17" s="61" t="s">
        <v>1813</v>
      </c>
      <c r="G17" s="60" t="s">
        <v>213</v>
      </c>
      <c r="H17" s="61" t="s">
        <v>1701</v>
      </c>
    </row>
    <row r="18" spans="1:8" x14ac:dyDescent="0.3">
      <c r="A18" s="60" t="s">
        <v>214</v>
      </c>
      <c r="B18" s="61" t="s">
        <v>1808</v>
      </c>
      <c r="D18" s="60" t="s">
        <v>214</v>
      </c>
      <c r="E18" s="61" t="s">
        <v>1814</v>
      </c>
      <c r="G18" s="60" t="s">
        <v>214</v>
      </c>
      <c r="H18" s="61" t="s">
        <v>1701</v>
      </c>
    </row>
    <row r="19" spans="1:8" ht="15" thickBot="1" x14ac:dyDescent="0.35">
      <c r="A19" s="62" t="s">
        <v>215</v>
      </c>
      <c r="B19" s="63" t="s">
        <v>1804</v>
      </c>
      <c r="D19" s="62" t="s">
        <v>215</v>
      </c>
      <c r="E19" s="63" t="s">
        <v>1815</v>
      </c>
      <c r="G19" s="62" t="s">
        <v>215</v>
      </c>
      <c r="H19" s="63" t="s">
        <v>1701</v>
      </c>
    </row>
    <row r="21" spans="1:8" ht="15" thickBot="1" x14ac:dyDescent="0.35"/>
    <row r="22" spans="1:8" x14ac:dyDescent="0.3">
      <c r="A22" s="58" t="s">
        <v>218</v>
      </c>
      <c r="B22" s="65" t="s">
        <v>219</v>
      </c>
      <c r="C22" s="59" t="s">
        <v>220</v>
      </c>
      <c r="E22" s="59" t="s">
        <v>220</v>
      </c>
      <c r="F22" s="58" t="s">
        <v>218</v>
      </c>
      <c r="G22" s="65" t="s">
        <v>219</v>
      </c>
    </row>
    <row r="23" spans="1:8" x14ac:dyDescent="0.3">
      <c r="A23" s="60" t="s">
        <v>221</v>
      </c>
      <c r="B23" s="47" t="s">
        <v>184</v>
      </c>
      <c r="C23" s="61" t="s">
        <v>1816</v>
      </c>
      <c r="E23" s="47" t="s">
        <v>1816</v>
      </c>
      <c r="F23" s="78" t="s">
        <v>221</v>
      </c>
      <c r="G23" s="78" t="s">
        <v>184</v>
      </c>
    </row>
    <row r="24" spans="1:8" x14ac:dyDescent="0.3">
      <c r="A24" s="60" t="s">
        <v>185</v>
      </c>
      <c r="B24" s="47" t="s">
        <v>221</v>
      </c>
      <c r="C24" s="61" t="s">
        <v>1817</v>
      </c>
      <c r="E24" s="47" t="s">
        <v>1817</v>
      </c>
      <c r="F24" s="78" t="s">
        <v>185</v>
      </c>
      <c r="G24" s="78" t="s">
        <v>221</v>
      </c>
    </row>
    <row r="25" spans="1:8" x14ac:dyDescent="0.3">
      <c r="A25" s="60" t="s">
        <v>222</v>
      </c>
      <c r="B25" s="47" t="s">
        <v>223</v>
      </c>
      <c r="C25" s="61" t="s">
        <v>1818</v>
      </c>
      <c r="E25" s="47" t="s">
        <v>1818</v>
      </c>
      <c r="F25" s="78" t="s">
        <v>222</v>
      </c>
      <c r="G25" s="78" t="s">
        <v>223</v>
      </c>
    </row>
    <row r="26" spans="1:8" x14ac:dyDescent="0.3">
      <c r="A26" s="60" t="s">
        <v>224</v>
      </c>
      <c r="B26" s="47" t="s">
        <v>225</v>
      </c>
      <c r="C26" s="61" t="s">
        <v>1819</v>
      </c>
      <c r="E26" s="47" t="s">
        <v>1819</v>
      </c>
      <c r="F26" s="78" t="s">
        <v>224</v>
      </c>
      <c r="G26" s="78" t="s">
        <v>225</v>
      </c>
    </row>
    <row r="27" spans="1:8" x14ac:dyDescent="0.3">
      <c r="A27" s="60" t="s">
        <v>226</v>
      </c>
      <c r="B27" s="47" t="s">
        <v>223</v>
      </c>
      <c r="C27" s="61" t="s">
        <v>1820</v>
      </c>
      <c r="E27" s="47" t="s">
        <v>1820</v>
      </c>
      <c r="F27" s="78" t="s">
        <v>226</v>
      </c>
      <c r="G27" s="78" t="s">
        <v>223</v>
      </c>
    </row>
    <row r="28" spans="1:8" ht="15" thickBot="1" x14ac:dyDescent="0.35">
      <c r="A28" s="62" t="s">
        <v>176</v>
      </c>
      <c r="B28" s="66" t="s">
        <v>227</v>
      </c>
      <c r="C28" s="63" t="s">
        <v>1821</v>
      </c>
      <c r="E28" s="47" t="s">
        <v>1821</v>
      </c>
      <c r="F28" s="78" t="s">
        <v>176</v>
      </c>
      <c r="G28" s="78" t="s">
        <v>1822</v>
      </c>
    </row>
    <row r="33" spans="2:4" x14ac:dyDescent="0.3">
      <c r="B33" t="s">
        <v>1702</v>
      </c>
      <c r="C33" t="s">
        <v>1706</v>
      </c>
      <c r="D33" t="s">
        <v>1710</v>
      </c>
    </row>
    <row r="34" spans="2:4" x14ac:dyDescent="0.3">
      <c r="B34" t="s">
        <v>1703</v>
      </c>
      <c r="C34" t="s">
        <v>1707</v>
      </c>
      <c r="D34" t="s">
        <v>1711</v>
      </c>
    </row>
    <row r="35" spans="2:4" x14ac:dyDescent="0.3">
      <c r="B35" t="s">
        <v>1704</v>
      </c>
      <c r="C35" t="s">
        <v>1708</v>
      </c>
      <c r="D35" t="s">
        <v>1712</v>
      </c>
    </row>
    <row r="36" spans="2:4" x14ac:dyDescent="0.3">
      <c r="B36" t="s">
        <v>1705</v>
      </c>
      <c r="C36" t="s">
        <v>1709</v>
      </c>
      <c r="D36" t="s">
        <v>1713</v>
      </c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C351CC-505E-41D1-87F4-116E4E4595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Relative &amp; Absolute Cell Refere</vt:lpstr>
      <vt:lpstr>Data Manipulation</vt:lpstr>
      <vt:lpstr>Text To Column </vt:lpstr>
      <vt:lpstr>Sheet1</vt:lpstr>
      <vt:lpstr>Remove  Duplicates1</vt:lpstr>
      <vt:lpstr>Remove duplicates</vt:lpstr>
      <vt:lpstr>Wildcard</vt:lpstr>
      <vt:lpstr>Custom list</vt:lpstr>
      <vt:lpstr>Sorting1</vt:lpstr>
      <vt:lpstr>Sorting </vt:lpstr>
      <vt:lpstr>Sheet1 (3)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2025-11-12T04:29:53Z</dcterms:created>
  <dcterms:modified xsi:type="dcterms:W3CDTF">2026-08-18T07:55:56Z</dcterms:modified>
</cp:coreProperties>
</file>