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25C79AA-F8FD-4380-87B4-79B4E17183EA}" xr6:coauthVersionLast="47" xr6:coauthVersionMax="47" xr10:uidLastSave="{00000000-0000-0000-0000-000000000000}"/>
  <bookViews>
    <workbookView xWindow="-108" yWindow="-108" windowWidth="23256" windowHeight="12456" activeTab="4" xr2:uid="{C219085F-44B4-4871-A966-8F5733D039D8}"/>
  </bookViews>
  <sheets>
    <sheet name="Sheet2" sheetId="6" r:id="rId1"/>
    <sheet name="AGG FUNCTIONS" sheetId="1" r:id="rId2"/>
    <sheet name="Sheet1" sheetId="5" r:id="rId3"/>
    <sheet name="LOGICAL FUNCTIONS" sheetId="2" r:id="rId4"/>
    <sheet name="MATHS FUNCTIONS" sheetId="3" r:id="rId5"/>
    <sheet name="DATE &amp; TIM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7" i="2" l="1"/>
  <c r="H75" i="2"/>
  <c r="H73" i="2" a="1"/>
  <c r="H73" i="2" s="1"/>
  <c r="H71" i="2"/>
  <c r="H69" i="2"/>
  <c r="H67" i="2"/>
  <c r="H65" i="2"/>
  <c r="H63" i="2"/>
  <c r="H61" i="2"/>
  <c r="H59" i="2" a="1"/>
  <c r="H59" i="2" s="1"/>
  <c r="H57" i="2"/>
  <c r="H55" i="2"/>
  <c r="H53" i="2"/>
  <c r="H51" i="2"/>
  <c r="H49" i="2" a="1"/>
  <c r="H49" i="2" s="1"/>
  <c r="H47" i="2"/>
  <c r="H45" i="2"/>
  <c r="H43" i="2"/>
  <c r="H41" i="2"/>
  <c r="H39" i="2"/>
  <c r="H37" i="2"/>
  <c r="H35" i="2" a="1"/>
  <c r="H35" i="2" s="1"/>
  <c r="H33" i="2"/>
  <c r="H31" i="2"/>
  <c r="H29" i="2"/>
  <c r="H27" i="2"/>
  <c r="H21" i="2"/>
  <c r="H23" i="2"/>
  <c r="H25" i="2"/>
  <c r="H19" i="2"/>
  <c r="F11" i="2"/>
  <c r="L13" i="2"/>
  <c r="L11" i="2"/>
  <c r="J12" i="2"/>
  <c r="J11" i="2"/>
  <c r="S2" i="2"/>
  <c r="Q2" i="2" a="1"/>
  <c r="Q2" i="2" s="1"/>
  <c r="R2" i="2" a="1"/>
  <c r="R2" i="2" s="1"/>
  <c r="P2" i="2"/>
  <c r="O2" i="2"/>
  <c r="O3" i="2"/>
  <c r="O4" i="2"/>
  <c r="O5" i="2"/>
  <c r="O6" i="2"/>
  <c r="N3" i="2"/>
  <c r="N4" i="2"/>
  <c r="N5" i="2"/>
  <c r="N6" i="2"/>
  <c r="N2" i="2"/>
  <c r="M3" i="2"/>
  <c r="M4" i="2"/>
  <c r="M5" i="2"/>
  <c r="M6" i="2"/>
  <c r="M2" i="2"/>
  <c r="L3" i="2"/>
  <c r="L4" i="2"/>
  <c r="L5" i="2"/>
  <c r="L6" i="2"/>
  <c r="L2" i="2"/>
  <c r="K3" i="2"/>
  <c r="K4" i="2"/>
  <c r="K5" i="2"/>
  <c r="K6" i="2"/>
  <c r="K2" i="2"/>
  <c r="I2" i="2"/>
  <c r="J6" i="2"/>
  <c r="J3" i="2"/>
  <c r="J4" i="2"/>
  <c r="J5" i="2"/>
  <c r="J2" i="2"/>
  <c r="I5" i="2"/>
  <c r="I6" i="2"/>
  <c r="I3" i="2"/>
  <c r="I4" i="2"/>
  <c r="P6" i="2"/>
  <c r="P5" i="2"/>
  <c r="P3" i="2"/>
  <c r="P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<sst xmlns="http://schemas.openxmlformats.org/spreadsheetml/2006/main" count="244" uniqueCount="226">
  <si>
    <t>ID</t>
  </si>
  <si>
    <t>Product</t>
  </si>
  <si>
    <t>Category</t>
  </si>
  <si>
    <t>Quantity</t>
  </si>
  <si>
    <t>Unit Price</t>
  </si>
  <si>
    <t>Total Sales</t>
  </si>
  <si>
    <t>Cost Price</t>
  </si>
  <si>
    <t>Profit</t>
  </si>
  <si>
    <t>Discount %</t>
  </si>
  <si>
    <t>Rating</t>
  </si>
  <si>
    <t>Stock Left</t>
  </si>
  <si>
    <t>Laptop</t>
  </si>
  <si>
    <t>Electronics</t>
  </si>
  <si>
    <t>Headphone</t>
  </si>
  <si>
    <t>T-Shirt</t>
  </si>
  <si>
    <t>Clothing</t>
  </si>
  <si>
    <t>Mobile</t>
  </si>
  <si>
    <t>Rice Bag</t>
  </si>
  <si>
    <t>Grocery</t>
  </si>
  <si>
    <t>Chair</t>
  </si>
  <si>
    <t>Furniture</t>
  </si>
  <si>
    <t>Mixer</t>
  </si>
  <si>
    <t>Jeans</t>
  </si>
  <si>
    <t>Sofa</t>
  </si>
  <si>
    <t>Biscuit</t>
  </si>
  <si>
    <t>Name</t>
  </si>
  <si>
    <t>Age</t>
  </si>
  <si>
    <t>Marks</t>
  </si>
  <si>
    <t>City</t>
  </si>
  <si>
    <t>Fees Paid</t>
  </si>
  <si>
    <t>Grade</t>
  </si>
  <si>
    <t>Asha</t>
  </si>
  <si>
    <t>Mumbai</t>
  </si>
  <si>
    <t>Yes</t>
  </si>
  <si>
    <t>A</t>
  </si>
  <si>
    <t>Rahul</t>
  </si>
  <si>
    <t>Delhi</t>
  </si>
  <si>
    <t>No</t>
  </si>
  <si>
    <t>C</t>
  </si>
  <si>
    <t>Priya</t>
  </si>
  <si>
    <t>Chennai</t>
  </si>
  <si>
    <t>A+</t>
  </si>
  <si>
    <t>Kiran</t>
  </si>
  <si>
    <t>B</t>
  </si>
  <si>
    <t>Sneha</t>
  </si>
  <si>
    <t>D</t>
  </si>
  <si>
    <t>ApplicantIncome</t>
  </si>
  <si>
    <t>CoapplicantIncome</t>
  </si>
  <si>
    <t>LoanAmount</t>
  </si>
  <si>
    <t>Loan_Amount_Term</t>
  </si>
  <si>
    <t>Credit_History</t>
  </si>
  <si>
    <t>Loan_Status</t>
  </si>
  <si>
    <t>Y</t>
  </si>
  <si>
    <t>N</t>
  </si>
  <si>
    <t>ApplicationDate</t>
  </si>
  <si>
    <t>ApplicationTime</t>
  </si>
  <si>
    <t>LoanStartDateTime</t>
  </si>
  <si>
    <t xml:space="preserve">  DOB</t>
  </si>
  <si>
    <t xml:space="preserve">        LoanTermMonths</t>
  </si>
  <si>
    <t>Holidays</t>
  </si>
  <si>
    <t xml:space="preserve">      09:30:00</t>
  </si>
  <si>
    <t xml:space="preserve">      2025-01-05 09:30</t>
  </si>
  <si>
    <t xml:space="preserve">     1990-06-15</t>
  </si>
  <si>
    <t xml:space="preserve">        2025-01-26</t>
  </si>
  <si>
    <t xml:space="preserve">      14:15:00</t>
  </si>
  <si>
    <t xml:space="preserve">      2025-02-14 14:15</t>
  </si>
  <si>
    <t xml:space="preserve">     1985-12-01</t>
  </si>
  <si>
    <t xml:space="preserve">        2025-03-17</t>
  </si>
  <si>
    <t xml:space="preserve">      08:00:00</t>
  </si>
  <si>
    <t xml:space="preserve">      2025-03-30 08:00</t>
  </si>
  <si>
    <t xml:space="preserve">     1992-02-28</t>
  </si>
  <si>
    <t xml:space="preserve">        2025-04-10</t>
  </si>
  <si>
    <t xml:space="preserve">      16:45:00</t>
  </si>
  <si>
    <t xml:space="preserve">      2025-04-01 16:45</t>
  </si>
  <si>
    <t xml:space="preserve">     1978-09-09</t>
  </si>
  <si>
    <t xml:space="preserve">        2025-05-01</t>
  </si>
  <si>
    <t xml:space="preserve">      11:00:00</t>
  </si>
  <si>
    <t xml:space="preserve">      2025-05-15 11:00</t>
  </si>
  <si>
    <t xml:space="preserve">     2000-01-10</t>
  </si>
  <si>
    <t xml:space="preserve">        2025-08-15</t>
  </si>
  <si>
    <t xml:space="preserve">      13:20:00</t>
  </si>
  <si>
    <t xml:space="preserve">      2025-06-25 13:20</t>
  </si>
  <si>
    <t xml:space="preserve">     1995-07-07</t>
  </si>
  <si>
    <t xml:space="preserve">        2025-10-02</t>
  </si>
  <si>
    <t xml:space="preserve">      07:50:00</t>
  </si>
  <si>
    <t xml:space="preserve">      2025-07-10 07:50</t>
  </si>
  <si>
    <t xml:space="preserve">     1988-11-20</t>
  </si>
  <si>
    <t xml:space="preserve">        2025-12-25</t>
  </si>
  <si>
    <t xml:space="preserve">      12:00:00</t>
  </si>
  <si>
    <t xml:space="preserve">      2025-08-31 12:00</t>
  </si>
  <si>
    <t xml:space="preserve">     1999-04-05</t>
  </si>
  <si>
    <t xml:space="preserve">          2026-01-01</t>
  </si>
  <si>
    <t>SUM</t>
  </si>
  <si>
    <t>AVERAGE</t>
  </si>
  <si>
    <t>MIN</t>
  </si>
  <si>
    <t>MAX</t>
  </si>
  <si>
    <t>COUNT</t>
  </si>
  <si>
    <t>COUNTA</t>
  </si>
  <si>
    <t>SUMIF</t>
  </si>
  <si>
    <t>SUMIFS</t>
  </si>
  <si>
    <t>AVERAGEIF</t>
  </si>
  <si>
    <t>AVERAGEIFS</t>
  </si>
  <si>
    <t>MINIFS</t>
  </si>
  <si>
    <t>MAXIFS</t>
  </si>
  <si>
    <t>COUNTIFS</t>
  </si>
  <si>
    <t>COUNTIF</t>
  </si>
  <si>
    <t>1. Find the total of all Total Sales.</t>
  </si>
  <si>
    <t>2. Calculate the total Quantity sold for all products.</t>
  </si>
  <si>
    <t>3. Find the total Profit earned.</t>
  </si>
  <si>
    <t>4. Get the total Stock Left across all products.</t>
  </si>
  <si>
    <t>5. Find the total Discount percentage sum (numeric addition of discount values).</t>
  </si>
  <si>
    <t>6. Find the average Unit Price of all products.</t>
  </si>
  <si>
    <t>7. Find the average Profit for all items.</t>
  </si>
  <si>
    <t>8. Calculate the average Discount percentage across all products.</t>
  </si>
  <si>
    <t>9. Find the average Rating of all products.</t>
  </si>
  <si>
    <t>10. Find the average Total Sale for the category Electronics.</t>
  </si>
  <si>
    <t>Count how many products are listed in the table.</t>
  </si>
  <si>
    <t>Count how many numeric entries are present in the Total Sale column.</t>
  </si>
  <si>
    <t>Count how many non-blank cells exist in the Category column.</t>
  </si>
  <si>
    <t>Count how many products have a Rating value entered.</t>
  </si>
  <si>
    <t>Count how many cells contain data in the Profit column.</t>
  </si>
  <si>
    <t>16. Find the Total Sale where Category = Electronics.</t>
  </si>
  <si>
    <t>17. Find the Total Sale for Product = Laptop.</t>
  </si>
  <si>
    <t>18. Find the Total Sale where Category = Electronics and Discount &gt; 5%.</t>
  </si>
  <si>
    <t>19. Find the Total Sale where Product = Mobile and Rating &gt;= 4.</t>
  </si>
  <si>
    <t>20. Find the Total Sale where Category = Furniture and Stock Left &lt; 20.</t>
  </si>
  <si>
    <t>Count the total number of rows in the Sales column.</t>
  </si>
  <si>
    <t>Count how many products belong to the Electronics category.</t>
  </si>
  <si>
    <t>Count the number of sales greater than 500.</t>
  </si>
  <si>
    <t>Count the number of products with a Discount greater than 5%.</t>
  </si>
  <si>
    <t>Count the number of products in the Furniture category and Region = North.</t>
  </si>
  <si>
    <t>Count the number of sales where Category = Clothing and Discount &gt; 10%.</t>
  </si>
  <si>
    <t>Count the number of products in Region = West with sales between 200 and 800.</t>
  </si>
  <si>
    <t>Calculate the average Sales for products in the Electronics category.</t>
  </si>
  <si>
    <t>Calculate the average Discount for products with Sales &gt; 1000.</t>
  </si>
  <si>
    <t>Calculate the average Sales for Region = South.</t>
  </si>
  <si>
    <t>Calculate the average Sales for products in Electronics with Discount &gt; 5%.</t>
  </si>
  <si>
    <t>Calculate the average Discount for products in Furniture sold in Region = East.</t>
  </si>
  <si>
    <t>Count the number of products with Sales &gt; 500 or Discount &gt; 10%.</t>
  </si>
  <si>
    <t>Count how many products have Category = Clothing and Sales between 300 and 700.</t>
  </si>
  <si>
    <t>Calculate the average Sales for products where Category = Electronics and Region = North.</t>
  </si>
  <si>
    <t>IF</t>
  </si>
  <si>
    <t>AND</t>
  </si>
  <si>
    <t>OR</t>
  </si>
  <si>
    <t>NOT</t>
  </si>
  <si>
    <t>IF&amp;AND</t>
  </si>
  <si>
    <t>IF&amp;OR</t>
  </si>
  <si>
    <t>IF&amp;NOT</t>
  </si>
  <si>
    <t>NESTED IF</t>
  </si>
  <si>
    <t>IFS</t>
  </si>
  <si>
    <t>SWITCH</t>
  </si>
  <si>
    <t>IFFERROR</t>
  </si>
  <si>
    <t>ISBLANK</t>
  </si>
  <si>
    <t>ISNUMBER</t>
  </si>
  <si>
    <r>
      <t xml:space="preserve">1. Display </t>
    </r>
    <r>
      <rPr>
        <b/>
        <sz val="11"/>
        <color theme="1"/>
        <rFont val="Aptos Narrow"/>
        <family val="2"/>
        <scheme val="minor"/>
      </rPr>
      <t>Pass</t>
    </r>
    <r>
      <rPr>
        <sz val="11"/>
        <color theme="1"/>
        <rFont val="Aptos Narrow"/>
        <family val="2"/>
        <scheme val="minor"/>
      </rPr>
      <t xml:space="preserve"> if Marks ≥ 40, otherwise </t>
    </r>
    <r>
      <rPr>
        <b/>
        <sz val="11"/>
        <color theme="1"/>
        <rFont val="Aptos Narrow"/>
        <family val="2"/>
        <scheme val="minor"/>
      </rPr>
      <t>Fail</t>
    </r>
  </si>
  <si>
    <r>
      <t xml:space="preserve">2. Show </t>
    </r>
    <r>
      <rPr>
        <b/>
        <sz val="11"/>
        <color theme="1"/>
        <rFont val="Aptos Narrow"/>
        <family val="2"/>
        <scheme val="minor"/>
      </rPr>
      <t>Eligible</t>
    </r>
    <r>
      <rPr>
        <sz val="11"/>
        <color theme="1"/>
        <rFont val="Aptos Narrow"/>
        <family val="2"/>
        <scheme val="minor"/>
      </rPr>
      <t xml:space="preserve"> if Age ≥ 18 AND Fees Paid = Yes</t>
    </r>
  </si>
  <si>
    <r>
      <t xml:space="preserve">3. Display </t>
    </r>
    <r>
      <rPr>
        <b/>
        <sz val="11"/>
        <color theme="1"/>
        <rFont val="Aptos Narrow"/>
        <family val="2"/>
        <scheme val="minor"/>
      </rPr>
      <t>Scholarship</t>
    </r>
    <r>
      <rPr>
        <sz val="11"/>
        <color theme="1"/>
        <rFont val="Aptos Narrow"/>
        <family val="2"/>
        <scheme val="minor"/>
      </rPr>
      <t xml:space="preserve"> if Marks ≥ 90 OR Grade = A+</t>
    </r>
  </si>
  <si>
    <r>
      <t xml:space="preserve">4. Identify students who </t>
    </r>
    <r>
      <rPr>
        <b/>
        <sz val="11"/>
        <color theme="1"/>
        <rFont val="Aptos Narrow"/>
        <family val="2"/>
        <scheme val="minor"/>
      </rPr>
      <t>did NOT pay fees</t>
    </r>
  </si>
  <si>
    <r>
      <t xml:space="preserve">5. Show </t>
    </r>
    <r>
      <rPr>
        <b/>
        <sz val="11"/>
        <color theme="1"/>
        <rFont val="Aptos Narrow"/>
        <family val="2"/>
        <scheme val="minor"/>
      </rPr>
      <t>Adult</t>
    </r>
    <r>
      <rPr>
        <sz val="11"/>
        <color theme="1"/>
        <rFont val="Aptos Narrow"/>
        <family val="2"/>
        <scheme val="minor"/>
      </rPr>
      <t xml:space="preserve"> if Age ≥ 18, else </t>
    </r>
    <r>
      <rPr>
        <b/>
        <sz val="11"/>
        <color theme="1"/>
        <rFont val="Aptos Narrow"/>
        <family val="2"/>
        <scheme val="minor"/>
      </rPr>
      <t>Minor</t>
    </r>
  </si>
  <si>
    <r>
      <t xml:space="preserve">6. Display </t>
    </r>
    <r>
      <rPr>
        <b/>
        <sz val="11"/>
        <color theme="1"/>
        <rFont val="Aptos Narrow"/>
        <family val="2"/>
        <scheme val="minor"/>
      </rPr>
      <t>Warning</t>
    </r>
    <r>
      <rPr>
        <sz val="11"/>
        <color theme="1"/>
        <rFont val="Aptos Narrow"/>
        <family val="2"/>
        <scheme val="minor"/>
      </rPr>
      <t xml:space="preserve"> if Marks &lt; 40 OR Fees Paid = No</t>
    </r>
  </si>
  <si>
    <r>
      <t xml:space="preserve">7. Show </t>
    </r>
    <r>
      <rPr>
        <b/>
        <sz val="11"/>
        <color theme="1"/>
        <rFont val="Aptos Narrow"/>
        <family val="2"/>
        <scheme val="minor"/>
      </rPr>
      <t>Top Performer</t>
    </r>
    <r>
      <rPr>
        <sz val="11"/>
        <color theme="1"/>
        <rFont val="Aptos Narrow"/>
        <family val="2"/>
        <scheme val="minor"/>
      </rPr>
      <t xml:space="preserve"> if Marks ≥ 85 AND Fees Paid = Yes</t>
    </r>
  </si>
  <si>
    <r>
      <t xml:space="preserve">8. Display </t>
    </r>
    <r>
      <rPr>
        <b/>
        <sz val="11"/>
        <color theme="1"/>
        <rFont val="Aptos Narrow"/>
        <family val="2"/>
        <scheme val="minor"/>
      </rPr>
      <t>Non-Delhi Student</t>
    </r>
    <r>
      <rPr>
        <sz val="11"/>
        <color theme="1"/>
        <rFont val="Aptos Narrow"/>
        <family val="2"/>
        <scheme val="minor"/>
      </rPr>
      <t xml:space="preserve"> using NOT function</t>
    </r>
  </si>
  <si>
    <t>9. Convert Grade to text using SWITCH (A+, A, B, C, D)</t>
  </si>
  <si>
    <r>
      <t xml:space="preserve">10. Show </t>
    </r>
    <r>
      <rPr>
        <b/>
        <sz val="11"/>
        <color theme="1"/>
        <rFont val="Aptos Narrow"/>
        <family val="2"/>
        <scheme val="minor"/>
      </rPr>
      <t>Safe Student</t>
    </r>
    <r>
      <rPr>
        <sz val="11"/>
        <color theme="1"/>
        <rFont val="Aptos Narrow"/>
        <family val="2"/>
        <scheme val="minor"/>
      </rPr>
      <t xml:space="preserve"> if Marks ≥ 40 AND NOT Fees Paid = No</t>
    </r>
  </si>
  <si>
    <r>
      <t xml:space="preserve">11. Display </t>
    </r>
    <r>
      <rPr>
        <b/>
        <sz val="11"/>
        <color theme="1"/>
        <rFont val="Aptos Narrow"/>
        <family val="2"/>
        <scheme val="minor"/>
      </rPr>
      <t>Metro Student</t>
    </r>
    <r>
      <rPr>
        <sz val="11"/>
        <color theme="1"/>
        <rFont val="Aptos Narrow"/>
        <family val="2"/>
        <scheme val="minor"/>
      </rPr>
      <t xml:space="preserve"> if City = Mumbai OR Chennai</t>
    </r>
  </si>
  <si>
    <t>12. Categorize Marks using Nested IF (Distinction / Pass / Fail)</t>
  </si>
  <si>
    <r>
      <t xml:space="preserve">13. Show </t>
    </r>
    <r>
      <rPr>
        <b/>
        <sz val="11"/>
        <color theme="1"/>
        <rFont val="Aptos Narrow"/>
        <family val="2"/>
        <scheme val="minor"/>
      </rPr>
      <t>Defaulter</t>
    </r>
    <r>
      <rPr>
        <sz val="11"/>
        <color theme="1"/>
        <rFont val="Aptos Narrow"/>
        <family val="2"/>
        <scheme val="minor"/>
      </rPr>
      <t xml:space="preserve"> if Fees Paid is NOT Yes</t>
    </r>
  </si>
  <si>
    <r>
      <t xml:space="preserve">14. Display </t>
    </r>
    <r>
      <rPr>
        <b/>
        <sz val="11"/>
        <color theme="1"/>
        <rFont val="Aptos Narrow"/>
        <family val="2"/>
        <scheme val="minor"/>
      </rPr>
      <t>Young Adult</t>
    </r>
    <r>
      <rPr>
        <sz val="11"/>
        <color theme="1"/>
        <rFont val="Aptos Narrow"/>
        <family val="2"/>
        <scheme val="minor"/>
      </rPr>
      <t xml:space="preserve"> if Age between 18 and 21 using IF &amp; AND</t>
    </r>
  </si>
  <si>
    <r>
      <t xml:space="preserve">15. Show </t>
    </r>
    <r>
      <rPr>
        <b/>
        <sz val="11"/>
        <color theme="1"/>
        <rFont val="Aptos Narrow"/>
        <family val="2"/>
        <scheme val="minor"/>
      </rPr>
      <t>Average Performer</t>
    </r>
    <r>
      <rPr>
        <sz val="11"/>
        <color theme="1"/>
        <rFont val="Aptos Narrow"/>
        <family val="2"/>
        <scheme val="minor"/>
      </rPr>
      <t xml:space="preserve"> if Marks between 40 and 60</t>
    </r>
  </si>
  <si>
    <t>16. Use IFS to classify performance based on Marks</t>
  </si>
  <si>
    <r>
      <t xml:space="preserve">17. Show </t>
    </r>
    <r>
      <rPr>
        <b/>
        <sz val="11"/>
        <color theme="1"/>
        <rFont val="Aptos Narrow"/>
        <family val="2"/>
        <scheme val="minor"/>
      </rPr>
      <t>Underage Student</t>
    </r>
    <r>
      <rPr>
        <sz val="11"/>
        <color theme="1"/>
        <rFont val="Aptos Narrow"/>
        <family val="2"/>
        <scheme val="minor"/>
      </rPr>
      <t xml:space="preserve"> if NOT (Age ≥ 18)</t>
    </r>
  </si>
  <si>
    <r>
      <t xml:space="preserve">18. Display </t>
    </r>
    <r>
      <rPr>
        <b/>
        <sz val="11"/>
        <color theme="1"/>
        <rFont val="Aptos Narrow"/>
        <family val="2"/>
        <scheme val="minor"/>
      </rPr>
      <t>Excellent Student</t>
    </r>
    <r>
      <rPr>
        <sz val="11"/>
        <color theme="1"/>
        <rFont val="Aptos Narrow"/>
        <family val="2"/>
        <scheme val="minor"/>
      </rPr>
      <t xml:space="preserve"> if Grade = A+ AND Marks ≥ 90</t>
    </r>
  </si>
  <si>
    <r>
      <t xml:space="preserve">19. Show </t>
    </r>
    <r>
      <rPr>
        <b/>
        <sz val="11"/>
        <color theme="1"/>
        <rFont val="Aptos Narrow"/>
        <family val="2"/>
        <scheme val="minor"/>
      </rPr>
      <t>Exam Not Allowed</t>
    </r>
    <r>
      <rPr>
        <sz val="11"/>
        <color theme="1"/>
        <rFont val="Aptos Narrow"/>
        <family val="2"/>
        <scheme val="minor"/>
      </rPr>
      <t xml:space="preserve"> if Fees Paid = No OR Age &lt; 18</t>
    </r>
  </si>
  <si>
    <r>
      <t xml:space="preserve">20. Display </t>
    </r>
    <r>
      <rPr>
        <b/>
        <sz val="11"/>
        <color theme="1"/>
        <rFont val="Aptos Narrow"/>
        <family val="2"/>
        <scheme val="minor"/>
      </rPr>
      <t>City Eligible</t>
    </r>
    <r>
      <rPr>
        <sz val="11"/>
        <color theme="1"/>
        <rFont val="Aptos Narrow"/>
        <family val="2"/>
        <scheme val="minor"/>
      </rPr>
      <t xml:space="preserve"> if City = Delhi AND Fees Paid = Yes</t>
    </r>
  </si>
  <si>
    <t>21. Convert Grade to description using SWITCH</t>
  </si>
  <si>
    <r>
      <t xml:space="preserve">22. Show </t>
    </r>
    <r>
      <rPr>
        <b/>
        <sz val="11"/>
        <color theme="1"/>
        <rFont val="Aptos Narrow"/>
        <family val="2"/>
        <scheme val="minor"/>
      </rPr>
      <t>Needs Improvement</t>
    </r>
    <r>
      <rPr>
        <sz val="11"/>
        <color theme="1"/>
        <rFont val="Aptos Narrow"/>
        <family val="2"/>
        <scheme val="minor"/>
      </rPr>
      <t xml:space="preserve"> if Grade is NOT A or A+</t>
    </r>
  </si>
  <si>
    <r>
      <t xml:space="preserve">23. Display </t>
    </r>
    <r>
      <rPr>
        <b/>
        <sz val="11"/>
        <color theme="1"/>
        <rFont val="Aptos Narrow"/>
        <family val="2"/>
        <scheme val="minor"/>
      </rPr>
      <t>Senior Student</t>
    </r>
    <r>
      <rPr>
        <sz val="11"/>
        <color theme="1"/>
        <rFont val="Aptos Narrow"/>
        <family val="2"/>
        <scheme val="minor"/>
      </rPr>
      <t xml:space="preserve"> if Age ≥ 21 using IF</t>
    </r>
  </si>
  <si>
    <r>
      <t xml:space="preserve">24. Calculate Marks ÷ Age and show </t>
    </r>
    <r>
      <rPr>
        <b/>
        <sz val="11"/>
        <color theme="1"/>
        <rFont val="Aptos Narrow"/>
        <family val="2"/>
        <scheme val="minor"/>
      </rPr>
      <t>Invalid Data</t>
    </r>
    <r>
      <rPr>
        <sz val="11"/>
        <color theme="1"/>
        <rFont val="Aptos Narrow"/>
        <family val="2"/>
        <scheme val="minor"/>
      </rPr>
      <t xml:space="preserve"> using IFERROR</t>
    </r>
  </si>
  <si>
    <r>
      <t xml:space="preserve">25. Show </t>
    </r>
    <r>
      <rPr>
        <b/>
        <sz val="11"/>
        <color theme="1"/>
        <rFont val="Aptos Narrow"/>
        <family val="2"/>
        <scheme val="minor"/>
      </rPr>
      <t>Paid &amp; Passed</t>
    </r>
    <r>
      <rPr>
        <sz val="11"/>
        <color theme="1"/>
        <rFont val="Aptos Narrow"/>
        <family val="2"/>
        <scheme val="minor"/>
      </rPr>
      <t xml:space="preserve"> if Fees Paid = Yes AND Marks ≥ 40</t>
    </r>
  </si>
  <si>
    <r>
      <t xml:space="preserve">26. Display </t>
    </r>
    <r>
      <rPr>
        <b/>
        <sz val="11"/>
        <color theme="1"/>
        <rFont val="Aptos Narrow"/>
        <family val="2"/>
        <scheme val="minor"/>
      </rPr>
      <t>Low Scorer</t>
    </r>
    <r>
      <rPr>
        <sz val="11"/>
        <color theme="1"/>
        <rFont val="Aptos Narrow"/>
        <family val="2"/>
        <scheme val="minor"/>
      </rPr>
      <t xml:space="preserve"> if Marks &lt; 50 AND NOT Grade = D</t>
    </r>
  </si>
  <si>
    <r>
      <t xml:space="preserve">27. Show </t>
    </r>
    <r>
      <rPr>
        <b/>
        <sz val="11"/>
        <color theme="1"/>
        <rFont val="Aptos Narrow"/>
        <family val="2"/>
        <scheme val="minor"/>
      </rPr>
      <t>Special Attention</t>
    </r>
    <r>
      <rPr>
        <sz val="11"/>
        <color theme="1"/>
        <rFont val="Aptos Narrow"/>
        <family val="2"/>
        <scheme val="minor"/>
      </rPr>
      <t xml:space="preserve"> if Marks &lt; 40 OR Grade = D</t>
    </r>
  </si>
  <si>
    <t>28. Use IFS to classify Age group (Minor / Adult / Senior)</t>
  </si>
  <si>
    <r>
      <t xml:space="preserve">29. Display </t>
    </r>
    <r>
      <rPr>
        <b/>
        <sz val="11"/>
        <color theme="1"/>
        <rFont val="Aptos Narrow"/>
        <family val="2"/>
        <scheme val="minor"/>
      </rPr>
      <t>Eligible for Scholarship</t>
    </r>
    <r>
      <rPr>
        <sz val="11"/>
        <color theme="1"/>
        <rFont val="Aptos Narrow"/>
        <family val="2"/>
        <scheme val="minor"/>
      </rPr>
      <t xml:space="preserve"> if Marks ≥ 85 OR Grade = A</t>
    </r>
  </si>
  <si>
    <r>
      <t xml:space="preserve">30. Show </t>
    </r>
    <r>
      <rPr>
        <b/>
        <sz val="11"/>
        <color theme="1"/>
        <rFont val="Aptos Narrow"/>
        <family val="2"/>
        <scheme val="minor"/>
      </rPr>
      <t>Verified Student</t>
    </r>
    <r>
      <rPr>
        <sz val="11"/>
        <color theme="1"/>
        <rFont val="Aptos Narrow"/>
        <family val="2"/>
        <scheme val="minor"/>
      </rPr>
      <t xml:space="preserve"> if NOT (Fees Paid = No)</t>
    </r>
  </si>
  <si>
    <t>30 Practical Logical Questions</t>
  </si>
  <si>
    <t>ROUND</t>
  </si>
  <si>
    <t>ROUNDUP</t>
  </si>
  <si>
    <t>ROUNDDOWN</t>
  </si>
  <si>
    <t>INT</t>
  </si>
  <si>
    <t>CEILING</t>
  </si>
  <si>
    <t>FLOOR</t>
  </si>
  <si>
    <t>MOD</t>
  </si>
  <si>
    <t>ABS</t>
  </si>
  <si>
    <t>POWER</t>
  </si>
  <si>
    <t>SQRT</t>
  </si>
  <si>
    <t>SIGN</t>
  </si>
  <si>
    <t>Today</t>
  </si>
  <si>
    <t>Now</t>
  </si>
  <si>
    <t>Year</t>
  </si>
  <si>
    <t>Month</t>
  </si>
  <si>
    <t>Day</t>
  </si>
  <si>
    <t>Date</t>
  </si>
  <si>
    <t>Time</t>
  </si>
  <si>
    <t>Hour</t>
  </si>
  <si>
    <t>Minute</t>
  </si>
  <si>
    <t>Second</t>
  </si>
  <si>
    <t>Datedif</t>
  </si>
  <si>
    <t>Edate</t>
  </si>
  <si>
    <t>Eomonth</t>
  </si>
  <si>
    <t>Days</t>
  </si>
  <si>
    <t>Text</t>
  </si>
  <si>
    <t>Datevalue</t>
  </si>
  <si>
    <t>Timevalue</t>
  </si>
  <si>
    <r>
      <t xml:space="preserve">Microsoft Excel is a </t>
    </r>
    <r>
      <rPr>
        <b/>
        <sz val="11"/>
        <color theme="1"/>
        <rFont val="Aptos Narrow"/>
        <family val="2"/>
        <scheme val="minor"/>
      </rPr>
      <t>spreadsheet program</t>
    </r>
    <r>
      <rPr>
        <sz val="11"/>
        <color theme="1"/>
        <rFont val="Aptos Narrow"/>
        <family val="2"/>
        <scheme val="minor"/>
      </rPr>
      <t xml:space="preserve"> used for organizing, analyzing, and working with data.</t>
    </r>
  </si>
  <si>
    <t>1. Data storage and organization</t>
  </si>
  <si>
    <t>You can store data in rows and columns (like a table)</t>
  </si>
  <si>
    <t>Useful for lists such as names, marks, expenses, inventory, etc.</t>
  </si>
  <si>
    <t>2. Calculations and formulas</t>
  </si>
  <si>
    <t>Excel can perform automatic calculations using formulas</t>
  </si>
  <si>
    <t>Example: addition, averages, percentages, totals</t>
  </si>
  <si>
    <t>3. Data analysis</t>
  </si>
  <si>
    <t>Helps you sort, filter, and analyze large amounts of data</t>
  </si>
  <si>
    <t>You can find patterns and insights easily</t>
  </si>
  <si>
    <t>4. Charts and graphs</t>
  </si>
  <si>
    <t>You can create visual representations like bar charts, pie charts, and line graphs</t>
  </si>
  <si>
    <t>alt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</si>
</sst>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400]h:mm:ss\ AM/PM"/>
    <numFmt numFmtId="165" formatCode="[$-F800]dddd\,\ mmmm\ dd\,\ yyyy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4" borderId="3" xfId="0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right" vertical="center" wrapText="1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right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 applyFill="1"/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0" fontId="5" fillId="0" borderId="0" xfId="0" applyFont="1"/>
    <xf numFmtId="0" fontId="5" fillId="6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7" borderId="0" xfId="0" applyFont="1" applyFill="1"/>
    <xf numFmtId="0" fontId="2" fillId="0" borderId="0" xfId="0" applyFont="1"/>
    <xf numFmtId="44" fontId="0" fillId="0" borderId="0" xfId="1" applyFont="1"/>
    <xf numFmtId="0" fontId="0" fillId="8" borderId="2" xfId="0" applyFont="1" applyFill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16">
    <dxf>
      <numFmt numFmtId="165" formatCode="[$-F800]dddd\,\ mmmm\ dd\,\ yyyy"/>
    </dxf>
    <dxf>
      <numFmt numFmtId="164" formatCode="[$-F400]h:mm:ss\ AM/PM"/>
    </dxf>
    <dxf>
      <numFmt numFmtId="19" formatCode="m/d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94A4F-C048-46A9-86C6-E656F1FB1533}" name="Table1" displayName="Table1" ref="A1:K11" totalsRowShown="0" headerRowDxfId="15" dataDxfId="14">
  <autoFilter ref="A1:K11" xr:uid="{33D94A4F-C048-46A9-86C6-E656F1FB1533}"/>
  <sortState xmlns:xlrd2="http://schemas.microsoft.com/office/spreadsheetml/2017/richdata2" ref="A2:K6">
    <sortCondition descending="1" ref="A1:A11"/>
  </sortState>
  <tableColumns count="11">
    <tableColumn id="1" xr3:uid="{55F621A8-CA5E-4E40-A497-8615C54BB6CB}" name="ID" dataDxfId="13"/>
    <tableColumn id="2" xr3:uid="{9AD7BB96-098B-4561-A845-2AD0B17D902F}" name="Product" dataDxfId="12"/>
    <tableColumn id="3" xr3:uid="{816EEB44-29EC-4608-8469-71E4162DFAF5}" name="Category" dataDxfId="11"/>
    <tableColumn id="4" xr3:uid="{093DF65D-A526-45D6-AD0B-C3556F705F58}" name="Quantity" dataDxfId="10"/>
    <tableColumn id="5" xr3:uid="{99A42DD4-E52D-431D-8593-9ACAD6493365}" name="Unit Price" dataDxfId="9"/>
    <tableColumn id="6" xr3:uid="{3F31B46C-7649-4B47-8EDB-BCC93C63830B}" name="Total Sales" dataDxfId="8"/>
    <tableColumn id="7" xr3:uid="{DB0FB944-B9A9-4999-B1A8-4BC3B13D08A8}" name="Cost Price" dataDxfId="7"/>
    <tableColumn id="8" xr3:uid="{1EEA615A-8CDB-49B0-97B3-D87EA3F5443C}" name="Profit" dataDxfId="6"/>
    <tableColumn id="9" xr3:uid="{C7229501-DFD5-4F76-920F-C7C400743858}" name="Discount %" dataDxfId="5"/>
    <tableColumn id="10" xr3:uid="{9B3518DD-884C-432D-A899-B958FADB573C}" name="Rating" dataDxfId="4"/>
    <tableColumn id="11" xr3:uid="{DA170FAE-BBAB-4BF7-B3D4-C4E8E3806A3E}" name="Stock Left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3FA3DE-EA13-4F9C-AD91-F189904747F4}" name="Table8" displayName="Table8" ref="A1:F9" totalsRowShown="0">
  <autoFilter ref="A1:F9" xr:uid="{B03FA3DE-EA13-4F9C-AD91-F189904747F4}"/>
  <tableColumns count="6">
    <tableColumn id="1" xr3:uid="{26C2E28E-DD67-4A39-9632-8E164122DCB9}" name="ApplicationDate" dataDxfId="2"/>
    <tableColumn id="2" xr3:uid="{327FFACD-88BE-4340-A998-F2FC6998AB22}" name="ApplicationTime" dataDxfId="1"/>
    <tableColumn id="3" xr3:uid="{3132F383-B98F-47C7-AE93-B2EFF965BB8F}" name="LoanStartDateTime" dataDxfId="0"/>
    <tableColumn id="4" xr3:uid="{C10D38BE-3DFD-4CC6-A417-95CD3B752814}" name="  DOB"/>
    <tableColumn id="5" xr3:uid="{635B68B6-250F-45FB-8533-5800D577C646}" name="        LoanTermMonths"/>
    <tableColumn id="6" xr3:uid="{D84EB247-1599-43E9-B76D-1529607D7AFF}" name="Holi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EE5F-52DD-4007-9B07-8043B05A1F3A}">
  <dimension ref="A1:A30"/>
  <sheetViews>
    <sheetView zoomScale="145" workbookViewId="0">
      <selection activeCell="G4" sqref="G4:G7"/>
    </sheetView>
  </sheetViews>
  <sheetFormatPr defaultRowHeight="14.4" x14ac:dyDescent="0.3"/>
  <sheetData>
    <row r="1" spans="1:1" x14ac:dyDescent="0.3">
      <c r="A1" t="s">
        <v>213</v>
      </c>
    </row>
    <row r="5" spans="1:1" x14ac:dyDescent="0.3">
      <c r="A5" s="31" t="s">
        <v>214</v>
      </c>
    </row>
    <row r="6" spans="1:1" x14ac:dyDescent="0.3">
      <c r="A6" s="29"/>
    </row>
    <row r="7" spans="1:1" x14ac:dyDescent="0.3">
      <c r="A7" s="29" t="s">
        <v>215</v>
      </c>
    </row>
    <row r="8" spans="1:1" x14ac:dyDescent="0.3">
      <c r="A8" s="29" t="s">
        <v>216</v>
      </c>
    </row>
    <row r="10" spans="1:1" x14ac:dyDescent="0.3">
      <c r="A10" s="31" t="s">
        <v>217</v>
      </c>
    </row>
    <row r="11" spans="1:1" x14ac:dyDescent="0.3">
      <c r="A11" s="29"/>
    </row>
    <row r="12" spans="1:1" x14ac:dyDescent="0.3">
      <c r="A12" s="29" t="s">
        <v>218</v>
      </c>
    </row>
    <row r="13" spans="1:1" x14ac:dyDescent="0.3">
      <c r="A13" s="29" t="s">
        <v>219</v>
      </c>
    </row>
    <row r="15" spans="1:1" x14ac:dyDescent="0.3">
      <c r="A15" s="31" t="s">
        <v>220</v>
      </c>
    </row>
    <row r="16" spans="1:1" x14ac:dyDescent="0.3">
      <c r="A16" s="29"/>
    </row>
    <row r="17" spans="1:1" x14ac:dyDescent="0.3">
      <c r="A17" s="29" t="s">
        <v>221</v>
      </c>
    </row>
    <row r="18" spans="1:1" x14ac:dyDescent="0.3">
      <c r="A18" s="29" t="s">
        <v>222</v>
      </c>
    </row>
    <row r="20" spans="1:1" x14ac:dyDescent="0.3">
      <c r="A20" s="31" t="s">
        <v>223</v>
      </c>
    </row>
    <row r="21" spans="1:1" x14ac:dyDescent="0.3">
      <c r="A21" s="29"/>
    </row>
    <row r="22" spans="1:1" x14ac:dyDescent="0.3">
      <c r="A22" s="29" t="s">
        <v>224</v>
      </c>
    </row>
    <row r="24" spans="1:1" x14ac:dyDescent="0.3">
      <c r="A24" s="31"/>
    </row>
    <row r="25" spans="1:1" x14ac:dyDescent="0.3">
      <c r="A25" s="29"/>
    </row>
    <row r="26" spans="1:1" x14ac:dyDescent="0.3">
      <c r="A26" s="29"/>
    </row>
    <row r="28" spans="1:1" x14ac:dyDescent="0.3">
      <c r="A28" s="31"/>
    </row>
    <row r="29" spans="1:1" x14ac:dyDescent="0.3">
      <c r="A29" s="29"/>
    </row>
    <row r="30" spans="1:1" x14ac:dyDescent="0.3">
      <c r="A30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C4D2-5AD2-4D47-B21F-1FCEE47018F9}">
  <dimension ref="A1:U32"/>
  <sheetViews>
    <sheetView topLeftCell="F1" zoomScale="131" zoomScaleNormal="100" workbookViewId="0">
      <selection activeCell="M3" sqref="M3:T10"/>
    </sheetView>
  </sheetViews>
  <sheetFormatPr defaultRowHeight="14.4" x14ac:dyDescent="0.3"/>
  <cols>
    <col min="2" max="2" width="12" bestFit="1" customWidth="1"/>
    <col min="3" max="3" width="12.77734375" bestFit="1" customWidth="1"/>
    <col min="5" max="5" width="14.21875" bestFit="1" customWidth="1"/>
    <col min="6" max="6" width="14.44140625" bestFit="1" customWidth="1"/>
    <col min="7" max="7" width="14" bestFit="1" customWidth="1"/>
    <col min="8" max="8" width="11.5546875" bestFit="1" customWidth="1"/>
    <col min="9" max="9" width="14.6640625" bestFit="1" customWidth="1"/>
    <col min="10" max="10" width="10.6640625" bestFit="1" customWidth="1"/>
    <col min="12" max="12" width="9.6640625" bestFit="1" customWidth="1"/>
  </cols>
  <sheetData>
    <row r="1" spans="1:21" ht="25.2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3"/>
      <c r="N1" s="21"/>
      <c r="O1" s="22"/>
      <c r="P1" s="22"/>
      <c r="Q1" s="22"/>
      <c r="R1" s="22"/>
      <c r="S1" s="23"/>
      <c r="T1" s="23"/>
      <c r="U1" s="23"/>
    </row>
    <row r="2" spans="1:21" x14ac:dyDescent="0.3">
      <c r="A2" s="2">
        <v>1</v>
      </c>
      <c r="B2" s="2" t="s">
        <v>11</v>
      </c>
      <c r="C2" s="2" t="s">
        <v>12</v>
      </c>
      <c r="D2" s="2">
        <v>5</v>
      </c>
      <c r="E2" s="2">
        <v>45000</v>
      </c>
      <c r="F2" s="2">
        <v>225000</v>
      </c>
      <c r="G2" s="2">
        <v>38000</v>
      </c>
      <c r="H2" s="2">
        <v>7000</v>
      </c>
      <c r="I2" s="3">
        <v>0.05</v>
      </c>
      <c r="J2" s="2">
        <v>4.5</v>
      </c>
      <c r="K2" s="2">
        <v>12</v>
      </c>
      <c r="L2" s="23"/>
      <c r="M2" s="24" t="s">
        <v>92</v>
      </c>
      <c r="N2" s="24" t="s">
        <v>93</v>
      </c>
      <c r="O2" s="24" t="s">
        <v>94</v>
      </c>
      <c r="P2" s="24" t="s">
        <v>95</v>
      </c>
      <c r="Q2" s="24" t="s">
        <v>96</v>
      </c>
      <c r="R2" s="24" t="s">
        <v>97</v>
      </c>
      <c r="T2" s="23"/>
      <c r="U2" s="23"/>
    </row>
    <row r="3" spans="1:21" ht="22.8" customHeight="1" x14ac:dyDescent="0.3">
      <c r="A3" s="2">
        <v>6</v>
      </c>
      <c r="B3" s="2" t="s">
        <v>13</v>
      </c>
      <c r="C3" s="2" t="s">
        <v>12</v>
      </c>
      <c r="D3" s="2">
        <v>10</v>
      </c>
      <c r="E3" s="2">
        <v>3000</v>
      </c>
      <c r="F3" s="2">
        <v>30000</v>
      </c>
      <c r="G3" s="2">
        <v>2000</v>
      </c>
      <c r="H3" s="2">
        <v>1000</v>
      </c>
      <c r="I3" s="3">
        <v>7.0000000000000007E-2</v>
      </c>
      <c r="J3" s="2">
        <v>4.7</v>
      </c>
      <c r="K3" s="2">
        <v>15</v>
      </c>
    </row>
    <row r="4" spans="1:21" x14ac:dyDescent="0.3">
      <c r="A4" s="2">
        <v>3</v>
      </c>
      <c r="B4" s="2" t="s">
        <v>14</v>
      </c>
      <c r="C4" s="2" t="s">
        <v>15</v>
      </c>
      <c r="D4" s="2">
        <v>20</v>
      </c>
      <c r="E4" s="2">
        <v>800</v>
      </c>
      <c r="F4" s="2">
        <v>16000</v>
      </c>
      <c r="G4" s="2">
        <v>400</v>
      </c>
      <c r="H4" s="2">
        <v>400</v>
      </c>
      <c r="I4" s="3">
        <v>0.08</v>
      </c>
      <c r="J4" s="2">
        <v>3.8</v>
      </c>
      <c r="K4" s="2">
        <v>50</v>
      </c>
    </row>
    <row r="5" spans="1:21" x14ac:dyDescent="0.3">
      <c r="A5" s="2">
        <v>4</v>
      </c>
      <c r="B5" s="2" t="s">
        <v>16</v>
      </c>
      <c r="C5" s="2" t="s">
        <v>12</v>
      </c>
      <c r="D5" s="2">
        <v>8</v>
      </c>
      <c r="E5" s="2">
        <v>20000</v>
      </c>
      <c r="F5" s="2">
        <v>160000</v>
      </c>
      <c r="G5" s="2">
        <v>15000</v>
      </c>
      <c r="H5" s="2">
        <v>5000</v>
      </c>
      <c r="I5" s="3">
        <v>0.06</v>
      </c>
      <c r="J5" s="2">
        <v>4.2</v>
      </c>
      <c r="K5" s="2">
        <v>18</v>
      </c>
    </row>
    <row r="6" spans="1:21" x14ac:dyDescent="0.3">
      <c r="A6" s="2">
        <v>5</v>
      </c>
      <c r="B6" s="2" t="s">
        <v>17</v>
      </c>
      <c r="C6" s="2" t="s">
        <v>18</v>
      </c>
      <c r="D6" s="2">
        <v>15</v>
      </c>
      <c r="E6" s="2">
        <v>1000</v>
      </c>
      <c r="F6" s="2">
        <v>15000</v>
      </c>
      <c r="G6" s="2">
        <v>600</v>
      </c>
      <c r="H6" s="2">
        <v>200</v>
      </c>
      <c r="I6" s="3">
        <v>0.02</v>
      </c>
      <c r="J6" s="2">
        <v>3.9</v>
      </c>
      <c r="K6" s="2">
        <v>30</v>
      </c>
    </row>
    <row r="7" spans="1:21" x14ac:dyDescent="0.3">
      <c r="A7" s="2">
        <v>2</v>
      </c>
      <c r="B7" s="2" t="s">
        <v>19</v>
      </c>
      <c r="C7" s="2" t="s">
        <v>20</v>
      </c>
      <c r="D7" s="2">
        <v>12</v>
      </c>
      <c r="E7" s="2">
        <v>2500</v>
      </c>
      <c r="F7" s="2">
        <v>30000</v>
      </c>
      <c r="G7" s="2">
        <v>1500</v>
      </c>
      <c r="H7" s="2">
        <v>1000</v>
      </c>
      <c r="I7" s="3">
        <v>0.1</v>
      </c>
      <c r="J7" s="2">
        <v>4</v>
      </c>
      <c r="K7" s="2">
        <v>20</v>
      </c>
    </row>
    <row r="8" spans="1:21" x14ac:dyDescent="0.3">
      <c r="A8" s="2">
        <v>7</v>
      </c>
      <c r="B8" s="2" t="s">
        <v>21</v>
      </c>
      <c r="C8" s="2" t="s">
        <v>12</v>
      </c>
      <c r="D8" s="2">
        <v>7</v>
      </c>
      <c r="E8" s="2">
        <v>4500</v>
      </c>
      <c r="F8" s="2">
        <v>31500</v>
      </c>
      <c r="G8" s="2">
        <v>2500</v>
      </c>
      <c r="H8" s="2">
        <v>1500</v>
      </c>
      <c r="I8" s="3">
        <v>0.05</v>
      </c>
      <c r="J8" s="2">
        <v>4.3</v>
      </c>
      <c r="K8" s="2">
        <v>10</v>
      </c>
    </row>
    <row r="9" spans="1:21" x14ac:dyDescent="0.3">
      <c r="A9" s="2">
        <v>8</v>
      </c>
      <c r="B9" s="2" t="s">
        <v>22</v>
      </c>
      <c r="C9" s="2" t="s">
        <v>15</v>
      </c>
      <c r="D9" s="2">
        <v>14</v>
      </c>
      <c r="E9" s="2">
        <v>1200</v>
      </c>
      <c r="F9" s="2">
        <v>16800</v>
      </c>
      <c r="G9" s="2">
        <v>700</v>
      </c>
      <c r="H9" s="2">
        <v>300</v>
      </c>
      <c r="I9" s="3">
        <v>0.09</v>
      </c>
      <c r="J9" s="2">
        <v>4.0999999999999996</v>
      </c>
      <c r="K9" s="2">
        <v>40</v>
      </c>
    </row>
    <row r="10" spans="1:21" x14ac:dyDescent="0.3">
      <c r="A10" s="2">
        <v>9</v>
      </c>
      <c r="B10" s="2" t="s">
        <v>23</v>
      </c>
      <c r="C10" s="2" t="s">
        <v>20</v>
      </c>
      <c r="D10" s="2">
        <v>3</v>
      </c>
      <c r="E10" s="2">
        <v>20000</v>
      </c>
      <c r="F10" s="2">
        <v>60000</v>
      </c>
      <c r="G10" s="2">
        <v>12000</v>
      </c>
      <c r="H10" s="2">
        <v>8000</v>
      </c>
      <c r="I10" s="3">
        <v>0.12</v>
      </c>
      <c r="J10" s="2">
        <v>4.5999999999999996</v>
      </c>
      <c r="K10" s="2">
        <v>5</v>
      </c>
    </row>
    <row r="11" spans="1:21" x14ac:dyDescent="0.3">
      <c r="A11" s="2">
        <v>10</v>
      </c>
      <c r="B11" s="2" t="s">
        <v>24</v>
      </c>
      <c r="C11" s="2" t="s">
        <v>18</v>
      </c>
      <c r="D11" s="2">
        <v>50</v>
      </c>
      <c r="E11" s="2">
        <v>50</v>
      </c>
      <c r="F11" s="2">
        <v>2500</v>
      </c>
      <c r="G11" s="2">
        <v>20</v>
      </c>
      <c r="H11" s="2">
        <v>10</v>
      </c>
      <c r="I11" s="3">
        <v>0.03</v>
      </c>
      <c r="J11" s="2">
        <v>3.5</v>
      </c>
      <c r="K11" s="2">
        <v>100</v>
      </c>
    </row>
    <row r="12" spans="1:21" x14ac:dyDescent="0.3">
      <c r="A12" s="2"/>
      <c r="B12" s="2"/>
      <c r="C12" s="2"/>
      <c r="D12" s="2"/>
      <c r="E12" s="2"/>
      <c r="F12" s="2"/>
      <c r="G12" s="2"/>
      <c r="H12" s="2"/>
      <c r="I12" s="3"/>
      <c r="J12" s="2"/>
      <c r="K12" s="2"/>
    </row>
    <row r="13" spans="1:21" x14ac:dyDescent="0.3">
      <c r="C13" t="s">
        <v>225</v>
      </c>
      <c r="I13" s="32"/>
    </row>
    <row r="14" spans="1:21" x14ac:dyDescent="0.3">
      <c r="C14" s="33" t="s">
        <v>12</v>
      </c>
      <c r="L14" s="26" t="s">
        <v>104</v>
      </c>
    </row>
    <row r="15" spans="1:21" x14ac:dyDescent="0.3">
      <c r="E15" s="25" t="s">
        <v>98</v>
      </c>
      <c r="F15" s="26" t="s">
        <v>99</v>
      </c>
      <c r="G15" s="25" t="s">
        <v>100</v>
      </c>
      <c r="H15" s="26" t="s">
        <v>101</v>
      </c>
      <c r="I15" s="26" t="s">
        <v>102</v>
      </c>
      <c r="J15" s="26" t="s">
        <v>103</v>
      </c>
      <c r="K15" s="25" t="s">
        <v>105</v>
      </c>
    </row>
    <row r="17" spans="3:12" x14ac:dyDescent="0.3">
      <c r="C17" s="23"/>
    </row>
    <row r="22" spans="3:12" x14ac:dyDescent="0.3">
      <c r="L22" s="23"/>
    </row>
    <row r="23" spans="3:12" x14ac:dyDescent="0.3">
      <c r="D23" s="2"/>
      <c r="E23" s="2"/>
      <c r="F23" s="2"/>
      <c r="G23" s="2"/>
      <c r="H23" s="2"/>
      <c r="I23" s="3"/>
      <c r="J23" s="2"/>
      <c r="K23" s="2"/>
    </row>
    <row r="24" spans="3:12" x14ac:dyDescent="0.3">
      <c r="D24" s="2"/>
      <c r="E24" s="2"/>
      <c r="F24" s="2"/>
      <c r="G24" s="2"/>
      <c r="H24" s="2"/>
      <c r="I24" s="3"/>
      <c r="J24" s="2"/>
      <c r="K24" s="2"/>
    </row>
    <row r="25" spans="3:12" x14ac:dyDescent="0.3">
      <c r="D25" s="2"/>
      <c r="E25" s="2"/>
      <c r="F25" s="2"/>
      <c r="G25" s="2"/>
      <c r="H25" s="2"/>
      <c r="I25" s="3"/>
      <c r="J25" s="2"/>
      <c r="K25" s="2"/>
    </row>
    <row r="26" spans="3:12" x14ac:dyDescent="0.3">
      <c r="D26" s="2"/>
      <c r="E26" s="2"/>
      <c r="F26" s="2"/>
      <c r="G26" s="2"/>
      <c r="H26" s="2"/>
      <c r="I26" s="3"/>
      <c r="J26" s="2"/>
      <c r="K26" s="2"/>
    </row>
    <row r="27" spans="3:12" x14ac:dyDescent="0.3">
      <c r="D27" s="2"/>
      <c r="E27" s="2"/>
      <c r="F27" s="2"/>
      <c r="G27" s="2"/>
      <c r="H27" s="2"/>
      <c r="I27" s="3"/>
      <c r="J27" s="2"/>
      <c r="K27" s="2"/>
    </row>
    <row r="28" spans="3:12" x14ac:dyDescent="0.3">
      <c r="D28" s="2"/>
      <c r="E28" s="2"/>
      <c r="F28" s="2"/>
      <c r="G28" s="2"/>
      <c r="H28" s="2"/>
      <c r="I28" s="3"/>
      <c r="J28" s="2"/>
      <c r="K28" s="2"/>
    </row>
    <row r="29" spans="3:12" x14ac:dyDescent="0.3">
      <c r="D29" s="2"/>
      <c r="E29" s="2"/>
      <c r="F29" s="2"/>
      <c r="G29" s="2"/>
      <c r="H29" s="2"/>
      <c r="I29" s="3"/>
      <c r="J29" s="2"/>
      <c r="K29" s="2"/>
    </row>
    <row r="30" spans="3:12" x14ac:dyDescent="0.3">
      <c r="D30" s="2"/>
      <c r="E30" s="2"/>
      <c r="F30" s="2"/>
      <c r="G30" s="2"/>
      <c r="H30" s="2"/>
      <c r="I30" s="3"/>
      <c r="J30" s="2"/>
      <c r="K30" s="2"/>
    </row>
    <row r="31" spans="3:12" x14ac:dyDescent="0.3">
      <c r="D31" s="2"/>
      <c r="E31" s="2"/>
      <c r="F31" s="2"/>
      <c r="G31" s="2"/>
      <c r="H31" s="2"/>
      <c r="I31" s="3"/>
      <c r="J31" s="2"/>
      <c r="K31" s="2"/>
    </row>
    <row r="32" spans="3:12" x14ac:dyDescent="0.3">
      <c r="D32" s="2"/>
      <c r="E32" s="2"/>
      <c r="F32" s="2"/>
      <c r="G32" s="2"/>
      <c r="H32" s="2"/>
      <c r="I32" s="3"/>
      <c r="J32" s="2"/>
      <c r="K32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BC78-7C33-4277-8276-0C071826233A}">
  <dimension ref="A1:A76"/>
  <sheetViews>
    <sheetView workbookViewId="0">
      <selection activeCell="D77" sqref="D77"/>
    </sheetView>
  </sheetViews>
  <sheetFormatPr defaultRowHeight="14.4" x14ac:dyDescent="0.3"/>
  <sheetData>
    <row r="1" spans="1:1" x14ac:dyDescent="0.3">
      <c r="A1" t="s">
        <v>106</v>
      </c>
    </row>
    <row r="3" spans="1:1" x14ac:dyDescent="0.3">
      <c r="A3" t="s">
        <v>107</v>
      </c>
    </row>
    <row r="5" spans="1:1" x14ac:dyDescent="0.3">
      <c r="A5" t="s">
        <v>108</v>
      </c>
    </row>
    <row r="7" spans="1:1" x14ac:dyDescent="0.3">
      <c r="A7" t="s">
        <v>109</v>
      </c>
    </row>
    <row r="9" spans="1:1" x14ac:dyDescent="0.3">
      <c r="A9" t="s">
        <v>110</v>
      </c>
    </row>
    <row r="14" spans="1:1" x14ac:dyDescent="0.3">
      <c r="A14" t="s">
        <v>111</v>
      </c>
    </row>
    <row r="16" spans="1:1" x14ac:dyDescent="0.3">
      <c r="A16" t="s">
        <v>112</v>
      </c>
    </row>
    <row r="18" spans="1:1" x14ac:dyDescent="0.3">
      <c r="A18" t="s">
        <v>113</v>
      </c>
    </row>
    <row r="20" spans="1:1" x14ac:dyDescent="0.3">
      <c r="A20" t="s">
        <v>114</v>
      </c>
    </row>
    <row r="22" spans="1:1" x14ac:dyDescent="0.3">
      <c r="A22" t="s">
        <v>115</v>
      </c>
    </row>
    <row r="25" spans="1:1" x14ac:dyDescent="0.3">
      <c r="A25" t="s">
        <v>116</v>
      </c>
    </row>
    <row r="27" spans="1:1" x14ac:dyDescent="0.3">
      <c r="A27" t="s">
        <v>117</v>
      </c>
    </row>
    <row r="29" spans="1:1" x14ac:dyDescent="0.3">
      <c r="A29" t="s">
        <v>118</v>
      </c>
    </row>
    <row r="31" spans="1:1" x14ac:dyDescent="0.3">
      <c r="A31" t="s">
        <v>119</v>
      </c>
    </row>
    <row r="33" spans="1:1" x14ac:dyDescent="0.3">
      <c r="A33" t="s">
        <v>120</v>
      </c>
    </row>
    <row r="36" spans="1:1" x14ac:dyDescent="0.3">
      <c r="A36" t="s">
        <v>121</v>
      </c>
    </row>
    <row r="38" spans="1:1" x14ac:dyDescent="0.3">
      <c r="A38" t="s">
        <v>122</v>
      </c>
    </row>
    <row r="40" spans="1:1" x14ac:dyDescent="0.3">
      <c r="A40" t="s">
        <v>123</v>
      </c>
    </row>
    <row r="42" spans="1:1" x14ac:dyDescent="0.3">
      <c r="A42" t="s">
        <v>124</v>
      </c>
    </row>
    <row r="44" spans="1:1" x14ac:dyDescent="0.3">
      <c r="A44" t="s">
        <v>125</v>
      </c>
    </row>
    <row r="48" spans="1:1" x14ac:dyDescent="0.3">
      <c r="A48" t="s">
        <v>126</v>
      </c>
    </row>
    <row r="50" spans="1:1" x14ac:dyDescent="0.3">
      <c r="A50" t="s">
        <v>127</v>
      </c>
    </row>
    <row r="52" spans="1:1" x14ac:dyDescent="0.3">
      <c r="A52" t="s">
        <v>128</v>
      </c>
    </row>
    <row r="54" spans="1:1" x14ac:dyDescent="0.3">
      <c r="A54" t="s">
        <v>129</v>
      </c>
    </row>
    <row r="56" spans="1:1" x14ac:dyDescent="0.3">
      <c r="A56" t="s">
        <v>130</v>
      </c>
    </row>
    <row r="58" spans="1:1" x14ac:dyDescent="0.3">
      <c r="A58" t="s">
        <v>131</v>
      </c>
    </row>
    <row r="60" spans="1:1" x14ac:dyDescent="0.3">
      <c r="A60" t="s">
        <v>132</v>
      </c>
    </row>
    <row r="62" spans="1:1" x14ac:dyDescent="0.3">
      <c r="A62" t="s">
        <v>133</v>
      </c>
    </row>
    <row r="64" spans="1:1" x14ac:dyDescent="0.3">
      <c r="A64" t="s">
        <v>134</v>
      </c>
    </row>
    <row r="66" spans="1:1" x14ac:dyDescent="0.3">
      <c r="A66" t="s">
        <v>135</v>
      </c>
    </row>
    <row r="68" spans="1:1" x14ac:dyDescent="0.3">
      <c r="A68" t="s">
        <v>136</v>
      </c>
    </row>
    <row r="70" spans="1:1" x14ac:dyDescent="0.3">
      <c r="A70" t="s">
        <v>137</v>
      </c>
    </row>
    <row r="72" spans="1:1" x14ac:dyDescent="0.3">
      <c r="A72" t="s">
        <v>138</v>
      </c>
    </row>
    <row r="74" spans="1:1" x14ac:dyDescent="0.3">
      <c r="A74" t="s">
        <v>139</v>
      </c>
    </row>
    <row r="76" spans="1:1" x14ac:dyDescent="0.3">
      <c r="A76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347F-8998-4CB6-8EE7-398D2F72FA21}">
  <dimension ref="A1:S77"/>
  <sheetViews>
    <sheetView workbookViewId="0">
      <selection activeCell="H77" sqref="H77"/>
    </sheetView>
  </sheetViews>
  <sheetFormatPr defaultRowHeight="14.4" x14ac:dyDescent="0.3"/>
  <cols>
    <col min="13" max="13" width="10.109375" customWidth="1"/>
    <col min="14" max="14" width="13.21875" bestFit="1" customWidth="1"/>
    <col min="16" max="16" width="18.21875" bestFit="1" customWidth="1"/>
    <col min="19" max="19" width="12.88671875" customWidth="1"/>
  </cols>
  <sheetData>
    <row r="1" spans="1:19" ht="28.8" x14ac:dyDescent="0.3">
      <c r="A1" s="4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I1" s="27" t="s">
        <v>141</v>
      </c>
      <c r="J1" s="27" t="s">
        <v>142</v>
      </c>
      <c r="K1" s="27" t="s">
        <v>143</v>
      </c>
      <c r="L1" s="27" t="s">
        <v>144</v>
      </c>
      <c r="M1" s="27" t="s">
        <v>145</v>
      </c>
      <c r="N1" s="27" t="s">
        <v>146</v>
      </c>
      <c r="O1" s="27" t="s">
        <v>147</v>
      </c>
      <c r="P1" s="27" t="s">
        <v>148</v>
      </c>
      <c r="Q1" s="27" t="s">
        <v>149</v>
      </c>
      <c r="R1" s="27" t="s">
        <v>150</v>
      </c>
      <c r="S1" s="27" t="s">
        <v>151</v>
      </c>
    </row>
    <row r="2" spans="1:19" x14ac:dyDescent="0.3">
      <c r="A2" s="6" t="s">
        <v>31</v>
      </c>
      <c r="B2" s="7">
        <v>22</v>
      </c>
      <c r="C2" s="7">
        <v>85</v>
      </c>
      <c r="D2" s="7" t="s">
        <v>32</v>
      </c>
      <c r="E2" s="7" t="s">
        <v>33</v>
      </c>
      <c r="F2" s="7" t="s">
        <v>34</v>
      </c>
      <c r="I2" t="str">
        <f>IF(C2&gt;=50,"PASS","FAIL")</f>
        <v>PASS</v>
      </c>
      <c r="J2" t="b">
        <f>AND(B2&gt;18,E2="Yes")</f>
        <v>1</v>
      </c>
      <c r="K2" t="b">
        <f>OR(B2&gt;=18,E2="Yes")</f>
        <v>1</v>
      </c>
      <c r="L2" t="b">
        <f>NOT(B2&gt;18)</f>
        <v>0</v>
      </c>
      <c r="M2" t="str">
        <f>IF(AND(B2&gt;=18,E2="Yes"),"Eligible","Not Eligible")</f>
        <v>Eligible</v>
      </c>
      <c r="N2" t="str">
        <f>IF(OR(C2&gt;=90,F2="A+"),"Scholarship","No Scholarship")</f>
        <v>No Scholarship</v>
      </c>
      <c r="O2" t="str">
        <f>IF(NOT(E2="Yes"),"Pending","Paid")</f>
        <v>Paid</v>
      </c>
      <c r="P2" t="str">
        <f>IF(C2&gt;=90,"A+",
 IF(C2&gt;=75,"A",
 IF(C2&gt;=60,"B",
 IF(C2&gt;=40,"C","D"))))</f>
        <v>A</v>
      </c>
      <c r="Q2" t="str" cm="1">
        <f t="array" ref="Q2">_xlfn.IFS(
C2&gt;=90,"A+",
C2&gt;=75,"A",
C2&gt;=60,"B",
C2&gt;=40,"C",
C2&lt;20,"D"
)</f>
        <v>A</v>
      </c>
      <c r="R2" t="str" cm="1">
        <f t="array" ref="R2">_xlfn.SWITCH(F2,
"A+","Excellent",
"A","Very Good",
"B","Good",
"C","Average",
"D","Poor")</f>
        <v>Very Good</v>
      </c>
      <c r="S2">
        <f>IFERROR(C2/B2,"Error")</f>
        <v>3.8636363636363638</v>
      </c>
    </row>
    <row r="3" spans="1:19" x14ac:dyDescent="0.3">
      <c r="A3" s="8" t="s">
        <v>35</v>
      </c>
      <c r="B3" s="9">
        <v>17</v>
      </c>
      <c r="C3" s="9">
        <v>45</v>
      </c>
      <c r="D3" s="9" t="s">
        <v>36</v>
      </c>
      <c r="E3" s="9" t="s">
        <v>37</v>
      </c>
      <c r="F3" s="9" t="s">
        <v>38</v>
      </c>
      <c r="I3" t="str">
        <f t="shared" ref="I3:I6" si="0">IF(C3&gt;=50,"PASS","FAIL")</f>
        <v>FAIL</v>
      </c>
      <c r="J3" t="b">
        <f t="shared" ref="J3:J5" si="1">AND(B3&gt;18,E3="Yes")</f>
        <v>0</v>
      </c>
      <c r="K3" t="b">
        <f t="shared" ref="K3:K6" si="2">OR(B3&gt;=18,E3="Yes")</f>
        <v>0</v>
      </c>
      <c r="L3" t="b">
        <f t="shared" ref="L3:L6" si="3">NOT(B3&gt;18)</f>
        <v>1</v>
      </c>
      <c r="M3" t="str">
        <f t="shared" ref="M3:M6" si="4">IF(AND(B3&gt;=18,E3="Yes"),"Eligible","Not Eligible")</f>
        <v>Not Eligible</v>
      </c>
      <c r="N3" t="str">
        <f t="shared" ref="N3:N6" si="5">IF(OR(C3&gt;=90,F3="A+"),"Scholarship","No Scholarship")</f>
        <v>No Scholarship</v>
      </c>
      <c r="O3" t="str">
        <f t="shared" ref="O3:O6" si="6">IF(NOT(E3="Yes"),"Pending","Paid")</f>
        <v>Pending</v>
      </c>
      <c r="P3" t="str">
        <f t="shared" ref="P3:P4" si="7">IF(C3&gt;=90,"A+",
 IF(C3&gt;=75,"A",
 IF(C3&gt;=60,"B",
 IF(C3&gt;=40,"C","D"))))</f>
        <v>C</v>
      </c>
    </row>
    <row r="4" spans="1:19" x14ac:dyDescent="0.3">
      <c r="A4" s="6" t="s">
        <v>39</v>
      </c>
      <c r="B4" s="7">
        <v>19</v>
      </c>
      <c r="C4" s="7">
        <v>92</v>
      </c>
      <c r="D4" s="7" t="s">
        <v>40</v>
      </c>
      <c r="E4" s="7" t="s">
        <v>33</v>
      </c>
      <c r="F4" s="7" t="s">
        <v>41</v>
      </c>
      <c r="I4" t="str">
        <f t="shared" si="0"/>
        <v>PASS</v>
      </c>
      <c r="J4" t="b">
        <f t="shared" si="1"/>
        <v>1</v>
      </c>
      <c r="K4" t="b">
        <f t="shared" si="2"/>
        <v>1</v>
      </c>
      <c r="L4" t="b">
        <f t="shared" si="3"/>
        <v>0</v>
      </c>
      <c r="M4" t="str">
        <f t="shared" si="4"/>
        <v>Eligible</v>
      </c>
      <c r="N4" t="str">
        <f t="shared" si="5"/>
        <v>Scholarship</v>
      </c>
      <c r="O4" t="str">
        <f t="shared" si="6"/>
        <v>Paid</v>
      </c>
      <c r="P4" t="str">
        <f t="shared" si="7"/>
        <v>A+</v>
      </c>
    </row>
    <row r="5" spans="1:19" x14ac:dyDescent="0.3">
      <c r="A5" s="8" t="s">
        <v>42</v>
      </c>
      <c r="B5" s="9">
        <v>16</v>
      </c>
      <c r="C5" s="9">
        <v>70</v>
      </c>
      <c r="D5" s="9" t="s">
        <v>36</v>
      </c>
      <c r="E5" s="9" t="s">
        <v>33</v>
      </c>
      <c r="F5" s="9" t="s">
        <v>43</v>
      </c>
      <c r="I5" t="str">
        <f>IF(C5&gt;=50,"PASS","FAIL")</f>
        <v>PASS</v>
      </c>
      <c r="J5" t="b">
        <f t="shared" si="1"/>
        <v>0</v>
      </c>
      <c r="K5" t="b">
        <f t="shared" si="2"/>
        <v>1</v>
      </c>
      <c r="L5" t="b">
        <f t="shared" si="3"/>
        <v>1</v>
      </c>
      <c r="M5" t="str">
        <f t="shared" si="4"/>
        <v>Not Eligible</v>
      </c>
      <c r="N5" t="str">
        <f t="shared" si="5"/>
        <v>No Scholarship</v>
      </c>
      <c r="O5" t="str">
        <f t="shared" si="6"/>
        <v>Paid</v>
      </c>
      <c r="P5" t="str">
        <f>IF(C5&gt;=90,"A+",
 IF(C5&gt;=75,"A",
 IF(C5&gt;=60,"B",
 IF(C5&gt;=40,"C","D"))))</f>
        <v>B</v>
      </c>
    </row>
    <row r="6" spans="1:19" x14ac:dyDescent="0.3">
      <c r="A6" s="6" t="s">
        <v>44</v>
      </c>
      <c r="B6" s="7">
        <v>21</v>
      </c>
      <c r="C6" s="7">
        <v>35</v>
      </c>
      <c r="D6" s="7" t="s">
        <v>32</v>
      </c>
      <c r="E6" s="7" t="s">
        <v>37</v>
      </c>
      <c r="F6" s="7" t="s">
        <v>45</v>
      </c>
      <c r="I6" t="str">
        <f t="shared" si="0"/>
        <v>FAIL</v>
      </c>
      <c r="J6" t="b">
        <f>AND(B6&gt;18,E6="Yes")</f>
        <v>0</v>
      </c>
      <c r="K6" t="b">
        <f t="shared" si="2"/>
        <v>1</v>
      </c>
      <c r="L6" t="b">
        <f t="shared" si="3"/>
        <v>0</v>
      </c>
      <c r="M6" t="str">
        <f t="shared" si="4"/>
        <v>Not Eligible</v>
      </c>
      <c r="N6" t="str">
        <f t="shared" si="5"/>
        <v>No Scholarship</v>
      </c>
      <c r="O6" t="str">
        <f t="shared" si="6"/>
        <v>Pending</v>
      </c>
      <c r="P6" t="str">
        <f>IF(C6&gt;=90,"A+",
 IF(C6&gt;=75,"A",
 IF(C6&gt;=60,"B",
 IF(C6&gt;=40,"C","D"))))</f>
        <v>D</v>
      </c>
    </row>
    <row r="10" spans="1:19" x14ac:dyDescent="0.3">
      <c r="F10" s="25" t="b">
        <v>1</v>
      </c>
      <c r="H10" s="25" t="b">
        <v>0</v>
      </c>
      <c r="J10" s="25" t="s">
        <v>152</v>
      </c>
      <c r="L10" s="25" t="s">
        <v>153</v>
      </c>
    </row>
    <row r="11" spans="1:19" x14ac:dyDescent="0.3">
      <c r="F11" t="b">
        <f>B2&gt;=18</f>
        <v>1</v>
      </c>
      <c r="J11" t="b">
        <f>ISBLANK(C2)</f>
        <v>0</v>
      </c>
      <c r="L11" t="b">
        <f>ISNUMBER(4)</f>
        <v>1</v>
      </c>
    </row>
    <row r="12" spans="1:19" x14ac:dyDescent="0.3">
      <c r="J12" t="b">
        <f>ISBLANK(K11)</f>
        <v>1</v>
      </c>
    </row>
    <row r="13" spans="1:19" x14ac:dyDescent="0.3">
      <c r="L13" t="b">
        <f>ISNUMBER(C2)</f>
        <v>1</v>
      </c>
    </row>
    <row r="17" spans="1:8" ht="23.4" x14ac:dyDescent="0.3">
      <c r="A17" s="28" t="s">
        <v>184</v>
      </c>
    </row>
    <row r="18" spans="1:8" x14ac:dyDescent="0.3">
      <c r="A18" s="29"/>
    </row>
    <row r="19" spans="1:8" x14ac:dyDescent="0.3">
      <c r="A19" s="29" t="s">
        <v>154</v>
      </c>
      <c r="H19" t="str">
        <f>IF(C2&gt;=40,"Pass","Fail")</f>
        <v>Pass</v>
      </c>
    </row>
    <row r="20" spans="1:8" x14ac:dyDescent="0.3">
      <c r="A20" s="29"/>
    </row>
    <row r="21" spans="1:8" x14ac:dyDescent="0.3">
      <c r="A21" s="29" t="s">
        <v>155</v>
      </c>
      <c r="H21" t="str">
        <f>IF(AND(B2&gt;=18,E2="Yes"),"Eligible","Not Eligible")</f>
        <v>Eligible</v>
      </c>
    </row>
    <row r="22" spans="1:8" x14ac:dyDescent="0.3">
      <c r="A22" s="29"/>
    </row>
    <row r="23" spans="1:8" x14ac:dyDescent="0.3">
      <c r="A23" s="29" t="s">
        <v>156</v>
      </c>
      <c r="H23" t="str">
        <f>IF(OR(C2&gt;=90,F2="A+"),"Scholarship","No Scholarship")</f>
        <v>No Scholarship</v>
      </c>
    </row>
    <row r="24" spans="1:8" x14ac:dyDescent="0.3">
      <c r="A24" s="29"/>
    </row>
    <row r="25" spans="1:8" x14ac:dyDescent="0.3">
      <c r="A25" s="29" t="s">
        <v>157</v>
      </c>
      <c r="H25" t="str">
        <f>IF(E2&lt;&gt;"Yes","Not Paid","Paid")</f>
        <v>Paid</v>
      </c>
    </row>
    <row r="26" spans="1:8" x14ac:dyDescent="0.3">
      <c r="A26" s="29"/>
    </row>
    <row r="27" spans="1:8" x14ac:dyDescent="0.3">
      <c r="A27" s="29" t="s">
        <v>158</v>
      </c>
      <c r="H27" t="str">
        <f>IF(B2&gt;=18,"Adult","Minor")</f>
        <v>Adult</v>
      </c>
    </row>
    <row r="28" spans="1:8" x14ac:dyDescent="0.3">
      <c r="A28" s="29"/>
    </row>
    <row r="29" spans="1:8" x14ac:dyDescent="0.3">
      <c r="A29" s="29" t="s">
        <v>159</v>
      </c>
      <c r="H29" t="str">
        <f>IF(OR(C2&lt;40,E2="No"),"Warning","OK")</f>
        <v>OK</v>
      </c>
    </row>
    <row r="30" spans="1:8" x14ac:dyDescent="0.3">
      <c r="A30" s="29"/>
    </row>
    <row r="31" spans="1:8" x14ac:dyDescent="0.3">
      <c r="A31" s="29" t="s">
        <v>160</v>
      </c>
      <c r="H31" t="str">
        <f>IF(AND(C2&gt;=85,E2="Yes"),"Top Performer","-")</f>
        <v>Top Performer</v>
      </c>
    </row>
    <row r="32" spans="1:8" x14ac:dyDescent="0.3">
      <c r="A32" s="29"/>
    </row>
    <row r="33" spans="1:8" x14ac:dyDescent="0.3">
      <c r="A33" s="29" t="s">
        <v>161</v>
      </c>
      <c r="H33" t="str">
        <f>IF(NOT(D2="Delhi"),"Non-Delhi Student","Delhi Student")</f>
        <v>Non-Delhi Student</v>
      </c>
    </row>
    <row r="34" spans="1:8" x14ac:dyDescent="0.3">
      <c r="A34" s="29"/>
    </row>
    <row r="35" spans="1:8" x14ac:dyDescent="0.3">
      <c r="A35" s="29" t="s">
        <v>162</v>
      </c>
      <c r="H35" t="str" cm="1">
        <f t="array" ref="H35">_xlfn.SWITCH(F2,"A+","Outstanding","A","Excellent","B","Good","C","Average","D","Poor")</f>
        <v>Excellent</v>
      </c>
    </row>
    <row r="36" spans="1:8" x14ac:dyDescent="0.3">
      <c r="A36" s="29"/>
    </row>
    <row r="37" spans="1:8" x14ac:dyDescent="0.3">
      <c r="A37" s="29" t="s">
        <v>163</v>
      </c>
      <c r="H37" t="str">
        <f>IF(AND(C2&gt;=40,NOT(E2="No")),"Safe Student","Unsafe")</f>
        <v>Safe Student</v>
      </c>
    </row>
    <row r="38" spans="1:8" x14ac:dyDescent="0.3">
      <c r="A38" s="29"/>
    </row>
    <row r="39" spans="1:8" x14ac:dyDescent="0.3">
      <c r="A39" s="29" t="s">
        <v>164</v>
      </c>
      <c r="H39" t="str">
        <f>IF(OR(D2="Mumbai",D2="Chennai"),"Metro Student","Non-Metro")</f>
        <v>Metro Student</v>
      </c>
    </row>
    <row r="40" spans="1:8" x14ac:dyDescent="0.3">
      <c r="A40" s="29"/>
    </row>
    <row r="41" spans="1:8" x14ac:dyDescent="0.3">
      <c r="A41" s="29" t="s">
        <v>165</v>
      </c>
      <c r="H41" t="str">
        <f>IF(C2&gt;=75,"Distinction",IF(C2&gt;=40,"Pass","Fail"))</f>
        <v>Distinction</v>
      </c>
    </row>
    <row r="42" spans="1:8" x14ac:dyDescent="0.3">
      <c r="A42" s="29"/>
    </row>
    <row r="43" spans="1:8" x14ac:dyDescent="0.3">
      <c r="A43" s="29" t="s">
        <v>166</v>
      </c>
      <c r="H43" t="str">
        <f>IF(NOT(E2="Yes"),"Defaulter","Clear")</f>
        <v>Clear</v>
      </c>
    </row>
    <row r="44" spans="1:8" x14ac:dyDescent="0.3">
      <c r="A44" s="29"/>
    </row>
    <row r="45" spans="1:8" x14ac:dyDescent="0.3">
      <c r="A45" s="29" t="s">
        <v>167</v>
      </c>
      <c r="H45" t="str">
        <f>IF(AND(B2&gt;=18,B2&lt;=21),"Young Adult","Other")</f>
        <v>Other</v>
      </c>
    </row>
    <row r="46" spans="1:8" x14ac:dyDescent="0.3">
      <c r="A46" s="29"/>
    </row>
    <row r="47" spans="1:8" x14ac:dyDescent="0.3">
      <c r="A47" s="29" t="s">
        <v>168</v>
      </c>
      <c r="H47" t="str">
        <f>IF(AND(C2&gt;=40,C2&lt;=60),"Average Performer","Other")</f>
        <v>Other</v>
      </c>
    </row>
    <row r="48" spans="1:8" x14ac:dyDescent="0.3">
      <c r="A48" s="29"/>
    </row>
    <row r="49" spans="1:8" x14ac:dyDescent="0.3">
      <c r="A49" s="29" t="s">
        <v>169</v>
      </c>
      <c r="H49" t="str" cm="1">
        <f t="array" ref="H49">_xlfn.IFS(C2&gt;=85,"Excellent",C2&gt;=60,"Good",C2&gt;=40,"Pass",C2&lt;40,"Fail")</f>
        <v>Excellent</v>
      </c>
    </row>
    <row r="50" spans="1:8" x14ac:dyDescent="0.3">
      <c r="A50" s="29"/>
    </row>
    <row r="51" spans="1:8" x14ac:dyDescent="0.3">
      <c r="A51" s="29" t="s">
        <v>170</v>
      </c>
      <c r="H51" t="str">
        <f>IF(NOT(B2&gt;=18),"Underage","Adult")</f>
        <v>Adult</v>
      </c>
    </row>
    <row r="52" spans="1:8" x14ac:dyDescent="0.3">
      <c r="A52" s="29"/>
    </row>
    <row r="53" spans="1:8" x14ac:dyDescent="0.3">
      <c r="A53" s="29" t="s">
        <v>171</v>
      </c>
      <c r="H53" t="str">
        <f>IF(AND(F2="A+",C2&gt;=90),"Excellent Student","-")</f>
        <v>-</v>
      </c>
    </row>
    <row r="54" spans="1:8" x14ac:dyDescent="0.3">
      <c r="A54" s="29"/>
    </row>
    <row r="55" spans="1:8" x14ac:dyDescent="0.3">
      <c r="A55" s="29" t="s">
        <v>172</v>
      </c>
      <c r="H55" t="str">
        <f>IF(OR(E2="No",B2&lt;18),"Exam Not Allowed","Allowed")</f>
        <v>Allowed</v>
      </c>
    </row>
    <row r="56" spans="1:8" x14ac:dyDescent="0.3">
      <c r="A56" s="29"/>
    </row>
    <row r="57" spans="1:8" x14ac:dyDescent="0.3">
      <c r="A57" s="29" t="s">
        <v>173</v>
      </c>
      <c r="H57" t="str">
        <f>IF(AND(D2="Delhi",E2="Yes"),"City Eligible","Not Eligible")</f>
        <v>Not Eligible</v>
      </c>
    </row>
    <row r="58" spans="1:8" x14ac:dyDescent="0.3">
      <c r="A58" s="29"/>
    </row>
    <row r="59" spans="1:8" x14ac:dyDescent="0.3">
      <c r="A59" s="29" t="s">
        <v>174</v>
      </c>
      <c r="H59" t="str" cm="1">
        <f t="array" ref="H59">_xlfn.SWITCH(F2,"A+","Outstanding","A","Very Good","B","Good","C","Average","D","Poor")</f>
        <v>Very Good</v>
      </c>
    </row>
    <row r="60" spans="1:8" x14ac:dyDescent="0.3">
      <c r="A60" s="29"/>
    </row>
    <row r="61" spans="1:8" x14ac:dyDescent="0.3">
      <c r="A61" s="29" t="s">
        <v>175</v>
      </c>
      <c r="H61" t="str">
        <f>IF(AND(F2&lt;&gt;"A",F2&lt;&gt;"A+"),"Needs Improvement","Good")</f>
        <v>Good</v>
      </c>
    </row>
    <row r="62" spans="1:8" x14ac:dyDescent="0.3">
      <c r="A62" s="29"/>
    </row>
    <row r="63" spans="1:8" x14ac:dyDescent="0.3">
      <c r="A63" s="29" t="s">
        <v>176</v>
      </c>
      <c r="H63" t="str">
        <f>IF(B2&gt;=21,"Senior Student","Junior")</f>
        <v>Senior Student</v>
      </c>
    </row>
    <row r="64" spans="1:8" x14ac:dyDescent="0.3">
      <c r="A64" s="29"/>
    </row>
    <row r="65" spans="1:8" x14ac:dyDescent="0.3">
      <c r="A65" s="29" t="s">
        <v>177</v>
      </c>
      <c r="H65">
        <f>IFERROR(C2/B2,"Invalid Data")</f>
        <v>3.8636363636363638</v>
      </c>
    </row>
    <row r="66" spans="1:8" x14ac:dyDescent="0.3">
      <c r="A66" s="29"/>
    </row>
    <row r="67" spans="1:8" x14ac:dyDescent="0.3">
      <c r="A67" s="29" t="s">
        <v>178</v>
      </c>
      <c r="H67" t="str">
        <f>IF(AND(E2="Yes",C2&gt;=40),"Paid &amp; Passed","-")</f>
        <v>Paid &amp; Passed</v>
      </c>
    </row>
    <row r="68" spans="1:8" x14ac:dyDescent="0.3">
      <c r="A68" s="29"/>
    </row>
    <row r="69" spans="1:8" x14ac:dyDescent="0.3">
      <c r="A69" s="29" t="s">
        <v>179</v>
      </c>
      <c r="H69" t="str">
        <f>IF(AND(C2&lt;50,NOT(F2="D")),"Low Scorer","-")</f>
        <v>-</v>
      </c>
    </row>
    <row r="70" spans="1:8" x14ac:dyDescent="0.3">
      <c r="A70" s="29"/>
    </row>
    <row r="71" spans="1:8" x14ac:dyDescent="0.3">
      <c r="A71" s="29" t="s">
        <v>180</v>
      </c>
      <c r="H71" t="str">
        <f>IF(OR(C2&lt;40,F2="D"),"Special Attention","-")</f>
        <v>-</v>
      </c>
    </row>
    <row r="72" spans="1:8" x14ac:dyDescent="0.3">
      <c r="A72" s="29"/>
    </row>
    <row r="73" spans="1:8" x14ac:dyDescent="0.3">
      <c r="A73" s="29" t="s">
        <v>181</v>
      </c>
      <c r="H73" t="str" cm="1">
        <f t="array" ref="H73">_xlfn.IFS(B2&lt;18,"Minor",B2&lt;=60,"Adult",B2&gt;60,"Senior")</f>
        <v>Adult</v>
      </c>
    </row>
    <row r="74" spans="1:8" x14ac:dyDescent="0.3">
      <c r="A74" s="29"/>
    </row>
    <row r="75" spans="1:8" x14ac:dyDescent="0.3">
      <c r="A75" s="29" t="s">
        <v>182</v>
      </c>
      <c r="H75" t="str">
        <f>IF(OR(C2&gt;=85,F2="A"),"Eligible for Scholarship","Not Eligible")</f>
        <v>Eligible for Scholarship</v>
      </c>
    </row>
    <row r="76" spans="1:8" x14ac:dyDescent="0.3">
      <c r="A76" s="29"/>
    </row>
    <row r="77" spans="1:8" x14ac:dyDescent="0.3">
      <c r="A77" s="29" t="s">
        <v>183</v>
      </c>
      <c r="H77" t="str">
        <f>IF(NOT(E2="No"),"Verified Student","Not Verified")</f>
        <v>Verified Student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7D05-7C79-4B70-A997-58358AC84824}">
  <dimension ref="A1:P10"/>
  <sheetViews>
    <sheetView tabSelected="1" topLeftCell="B1" workbookViewId="0">
      <selection activeCell="E19" sqref="E19"/>
    </sheetView>
  </sheetViews>
  <sheetFormatPr defaultRowHeight="14.4" x14ac:dyDescent="0.3"/>
  <cols>
    <col min="1" max="1" width="18.77734375" customWidth="1"/>
    <col min="2" max="2" width="19.44140625" customWidth="1"/>
    <col min="3" max="3" width="18.109375" customWidth="1"/>
    <col min="4" max="5" width="17" customWidth="1"/>
    <col min="6" max="6" width="18" customWidth="1"/>
    <col min="11" max="11" width="9.5546875" bestFit="1" customWidth="1"/>
    <col min="12" max="12" width="12.77734375" bestFit="1" customWidth="1"/>
  </cols>
  <sheetData>
    <row r="1" spans="1:16" ht="23.4" customHeight="1" thickBot="1" x14ac:dyDescent="0.35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1" t="s">
        <v>51</v>
      </c>
      <c r="J1" s="30" t="s">
        <v>185</v>
      </c>
      <c r="K1" s="30" t="s">
        <v>186</v>
      </c>
      <c r="L1" s="30" t="s">
        <v>187</v>
      </c>
      <c r="M1" s="30" t="s">
        <v>188</v>
      </c>
      <c r="N1" s="30" t="s">
        <v>189</v>
      </c>
      <c r="O1" s="30" t="s">
        <v>190</v>
      </c>
      <c r="P1" s="30" t="s">
        <v>191</v>
      </c>
    </row>
    <row r="2" spans="1:16" x14ac:dyDescent="0.3">
      <c r="A2" s="12">
        <v>5000</v>
      </c>
      <c r="B2" s="12">
        <v>0</v>
      </c>
      <c r="C2" s="12">
        <v>100.8</v>
      </c>
      <c r="D2" s="12">
        <v>360</v>
      </c>
      <c r="E2" s="12">
        <v>1</v>
      </c>
      <c r="F2" s="13" t="s">
        <v>52</v>
      </c>
    </row>
    <row r="3" spans="1:16" x14ac:dyDescent="0.3">
      <c r="A3" s="14">
        <v>3000</v>
      </c>
      <c r="B3" s="14">
        <v>1500</v>
      </c>
      <c r="C3" s="14">
        <v>126.4</v>
      </c>
      <c r="D3" s="14">
        <v>360</v>
      </c>
      <c r="E3" s="14">
        <v>1</v>
      </c>
      <c r="F3" s="15" t="s">
        <v>52</v>
      </c>
    </row>
    <row r="4" spans="1:16" x14ac:dyDescent="0.3">
      <c r="A4" s="12">
        <v>2500</v>
      </c>
      <c r="B4" s="12">
        <v>2000</v>
      </c>
      <c r="C4" s="12">
        <v>200.9</v>
      </c>
      <c r="D4" s="12">
        <v>360</v>
      </c>
      <c r="E4" s="12">
        <v>0</v>
      </c>
      <c r="F4" s="13" t="s">
        <v>53</v>
      </c>
    </row>
    <row r="5" spans="1:16" x14ac:dyDescent="0.3">
      <c r="A5" s="14">
        <v>4200</v>
      </c>
      <c r="B5" s="14">
        <v>0</v>
      </c>
      <c r="C5" s="14">
        <v>110.3</v>
      </c>
      <c r="D5" s="14">
        <v>180</v>
      </c>
      <c r="E5" s="14">
        <v>1</v>
      </c>
      <c r="F5" s="15" t="s">
        <v>52</v>
      </c>
    </row>
    <row r="6" spans="1:16" x14ac:dyDescent="0.3">
      <c r="A6" s="12">
        <v>6000</v>
      </c>
      <c r="B6" s="12">
        <v>0</v>
      </c>
      <c r="C6" s="12">
        <v>150.69999999999999</v>
      </c>
      <c r="D6" s="12">
        <v>360</v>
      </c>
      <c r="E6" s="12">
        <v>1</v>
      </c>
      <c r="F6" s="13" t="s">
        <v>52</v>
      </c>
    </row>
    <row r="7" spans="1:16" x14ac:dyDescent="0.3">
      <c r="A7" s="14">
        <v>1800</v>
      </c>
      <c r="B7" s="14">
        <v>1000</v>
      </c>
      <c r="C7" s="14">
        <v>90.6</v>
      </c>
      <c r="D7" s="14">
        <v>120</v>
      </c>
      <c r="E7" s="14">
        <v>0</v>
      </c>
      <c r="F7" s="15" t="s">
        <v>53</v>
      </c>
    </row>
    <row r="8" spans="1:16" x14ac:dyDescent="0.3">
      <c r="A8" s="12">
        <v>7200</v>
      </c>
      <c r="B8" s="12">
        <v>500</v>
      </c>
      <c r="C8" s="12">
        <v>300</v>
      </c>
      <c r="D8" s="12">
        <v>360</v>
      </c>
      <c r="E8" s="12">
        <v>1</v>
      </c>
      <c r="F8" s="13" t="s">
        <v>52</v>
      </c>
    </row>
    <row r="9" spans="1:16" ht="15" thickBot="1" x14ac:dyDescent="0.35">
      <c r="A9" s="16">
        <v>3200</v>
      </c>
      <c r="B9" s="16">
        <v>800</v>
      </c>
      <c r="C9" s="16">
        <v>125</v>
      </c>
      <c r="D9" s="16">
        <v>240</v>
      </c>
      <c r="E9" s="16">
        <v>1</v>
      </c>
      <c r="F9" s="17" t="s">
        <v>53</v>
      </c>
    </row>
    <row r="10" spans="1:16" x14ac:dyDescent="0.3">
      <c r="J10" s="30" t="s">
        <v>192</v>
      </c>
      <c r="K10" s="30" t="s">
        <v>193</v>
      </c>
      <c r="L10" s="30" t="s">
        <v>194</v>
      </c>
      <c r="M10" s="30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58C7-61D2-42E9-9C47-F52C0425BB4E}">
  <dimension ref="A1:O19"/>
  <sheetViews>
    <sheetView zoomScale="111" workbookViewId="0">
      <selection activeCell="F14" sqref="F14"/>
    </sheetView>
  </sheetViews>
  <sheetFormatPr defaultRowHeight="14.4" x14ac:dyDescent="0.3"/>
  <cols>
    <col min="1" max="1" width="16.88671875" bestFit="1" customWidth="1"/>
    <col min="2" max="2" width="17.109375" bestFit="1" customWidth="1"/>
    <col min="3" max="3" width="19.44140625" bestFit="1" customWidth="1"/>
    <col min="5" max="5" width="20.21875" bestFit="1" customWidth="1"/>
    <col min="6" max="6" width="13.77734375" bestFit="1" customWidth="1"/>
  </cols>
  <sheetData>
    <row r="1" spans="1:15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I1" s="30" t="s">
        <v>196</v>
      </c>
      <c r="J1" s="30" t="s">
        <v>197</v>
      </c>
      <c r="K1" s="30" t="s">
        <v>198</v>
      </c>
      <c r="L1" s="30" t="s">
        <v>199</v>
      </c>
      <c r="M1" s="30" t="s">
        <v>200</v>
      </c>
      <c r="N1" s="30" t="s">
        <v>201</v>
      </c>
      <c r="O1" s="30" t="s">
        <v>202</v>
      </c>
    </row>
    <row r="2" spans="1:15" x14ac:dyDescent="0.3">
      <c r="A2" s="18">
        <v>45662</v>
      </c>
      <c r="B2" s="19" t="s">
        <v>60</v>
      </c>
      <c r="C2" s="20" t="s">
        <v>61</v>
      </c>
      <c r="D2" t="s">
        <v>62</v>
      </c>
      <c r="E2">
        <v>36</v>
      </c>
      <c r="F2" t="s">
        <v>63</v>
      </c>
    </row>
    <row r="3" spans="1:15" x14ac:dyDescent="0.3">
      <c r="A3" s="18">
        <v>45702</v>
      </c>
      <c r="B3" s="19" t="s">
        <v>64</v>
      </c>
      <c r="C3" s="20" t="s">
        <v>65</v>
      </c>
      <c r="D3" t="s">
        <v>66</v>
      </c>
      <c r="E3">
        <v>24</v>
      </c>
      <c r="F3" t="s">
        <v>67</v>
      </c>
    </row>
    <row r="4" spans="1:15" x14ac:dyDescent="0.3">
      <c r="A4" s="18">
        <v>45746</v>
      </c>
      <c r="B4" s="19" t="s">
        <v>68</v>
      </c>
      <c r="C4" s="20" t="s">
        <v>69</v>
      </c>
      <c r="D4" t="s">
        <v>70</v>
      </c>
      <c r="E4">
        <v>60</v>
      </c>
      <c r="F4" t="s">
        <v>71</v>
      </c>
    </row>
    <row r="5" spans="1:15" x14ac:dyDescent="0.3">
      <c r="A5" s="18">
        <v>45748</v>
      </c>
      <c r="B5" s="19" t="s">
        <v>72</v>
      </c>
      <c r="C5" s="20" t="s">
        <v>73</v>
      </c>
      <c r="D5" t="s">
        <v>74</v>
      </c>
      <c r="E5">
        <v>12</v>
      </c>
      <c r="F5" t="s">
        <v>75</v>
      </c>
    </row>
    <row r="6" spans="1:15" x14ac:dyDescent="0.3">
      <c r="A6" s="18">
        <v>45792</v>
      </c>
      <c r="B6" s="19" t="s">
        <v>76</v>
      </c>
      <c r="C6" s="20" t="s">
        <v>77</v>
      </c>
      <c r="D6" t="s">
        <v>78</v>
      </c>
      <c r="E6">
        <v>48</v>
      </c>
      <c r="F6" t="s">
        <v>79</v>
      </c>
    </row>
    <row r="7" spans="1:15" x14ac:dyDescent="0.3">
      <c r="A7" s="18">
        <v>45833</v>
      </c>
      <c r="B7" s="19" t="s">
        <v>80</v>
      </c>
      <c r="C7" s="20" t="s">
        <v>81</v>
      </c>
      <c r="D7" t="s">
        <v>82</v>
      </c>
      <c r="E7">
        <v>18</v>
      </c>
      <c r="F7" t="s">
        <v>83</v>
      </c>
    </row>
    <row r="8" spans="1:15" x14ac:dyDescent="0.3">
      <c r="A8" s="18">
        <v>45848</v>
      </c>
      <c r="B8" s="19" t="s">
        <v>84</v>
      </c>
      <c r="C8" s="20" t="s">
        <v>85</v>
      </c>
      <c r="D8" t="s">
        <v>86</v>
      </c>
      <c r="E8">
        <v>30</v>
      </c>
      <c r="F8" t="s">
        <v>87</v>
      </c>
    </row>
    <row r="9" spans="1:15" x14ac:dyDescent="0.3">
      <c r="A9" s="18">
        <v>45900</v>
      </c>
      <c r="B9" s="19" t="s">
        <v>88</v>
      </c>
      <c r="C9" s="20" t="s">
        <v>89</v>
      </c>
      <c r="D9" t="s">
        <v>90</v>
      </c>
      <c r="E9">
        <v>6</v>
      </c>
      <c r="F9" t="s">
        <v>91</v>
      </c>
    </row>
    <row r="10" spans="1:15" x14ac:dyDescent="0.3">
      <c r="I10" s="30" t="s">
        <v>203</v>
      </c>
      <c r="J10" s="30" t="s">
        <v>204</v>
      </c>
      <c r="K10" s="30" t="s">
        <v>205</v>
      </c>
      <c r="L10" s="30" t="s">
        <v>206</v>
      </c>
      <c r="M10" s="30" t="s">
        <v>207</v>
      </c>
      <c r="N10" s="30" t="s">
        <v>208</v>
      </c>
    </row>
    <row r="18" spans="9:12" x14ac:dyDescent="0.3">
      <c r="I18" s="30" t="s">
        <v>209</v>
      </c>
      <c r="J18" s="30" t="s">
        <v>210</v>
      </c>
      <c r="K18" s="30" t="s">
        <v>211</v>
      </c>
      <c r="L18" s="30" t="s">
        <v>212</v>
      </c>
    </row>
    <row r="19" spans="9:12" x14ac:dyDescent="0.3">
      <c r="K19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AGG FUNCTIONS</vt:lpstr>
      <vt:lpstr>Sheet1</vt:lpstr>
      <vt:lpstr>LOGICAL FUNCTIONS</vt:lpstr>
      <vt:lpstr>MATHS FUNCTIONS</vt:lpstr>
      <vt:lpstr>DATE &amp;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2025-10-31T15:20:02Z</dcterms:created>
  <dcterms:modified xsi:type="dcterms:W3CDTF">2026-04-13T11:12:41Z</dcterms:modified>
</cp:coreProperties>
</file>