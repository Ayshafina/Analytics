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E5CE47E-3840-4164-A411-347C06E56F27}" xr6:coauthVersionLast="47" xr6:coauthVersionMax="47" xr10:uidLastSave="{00000000-0000-0000-0000-000000000000}"/>
  <bookViews>
    <workbookView xWindow="-108" yWindow="-108" windowWidth="23256" windowHeight="12456" tabRatio="925" xr2:uid="{00000000-000D-0000-FFFF-FFFF00000000}"/>
  </bookViews>
  <sheets>
    <sheet name="VLOOKUP" sheetId="22" r:id="rId1"/>
    <sheet name="HLOOKUP" sheetId="23" r:id="rId2"/>
    <sheet name="XLOOKUP" sheetId="24" r:id="rId3"/>
    <sheet name="INDEX MATCH" sheetId="2" r:id="rId4"/>
    <sheet name="SEQUENCE" sheetId="3" r:id="rId5"/>
    <sheet name="DATA VALIDATION" sheetId="5" r:id="rId6"/>
    <sheet name="CONDITIONAL FORMATTING" sheetId="6" r:id="rId7"/>
    <sheet name="ADVANCED FORMATTING" sheetId="8" r:id="rId8"/>
    <sheet name="SPARKLINES" sheetId="7" r:id="rId9"/>
    <sheet name="3D SUM(2018)" sheetId="10" r:id="rId10"/>
    <sheet name="2019" sheetId="14" r:id="rId11"/>
    <sheet name="2020" sheetId="15" r:id="rId12"/>
    <sheet name="3D Sum" sheetId="20" r:id="rId13"/>
    <sheet name="Consolidation" sheetId="16" r:id="rId14"/>
    <sheet name="VBA" sheetId="17" r:id="rId15"/>
    <sheet name="1" sheetId="18" r:id="rId16"/>
    <sheet name="2" sheetId="19" r:id="rId17"/>
    <sheet name="GPT cache" sheetId="4" state="veryHidden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3" l="1" a="1"/>
  <c r="K5" i="3" s="1"/>
  <c r="F12" i="2"/>
  <c r="F13" i="2"/>
  <c r="F14" i="2"/>
  <c r="F15" i="2"/>
  <c r="F16" i="2"/>
  <c r="G6" i="2"/>
  <c r="F6" i="2"/>
  <c r="G7" i="2"/>
  <c r="G8" i="2"/>
  <c r="G9" i="2"/>
  <c r="F7" i="2"/>
  <c r="F8" i="2"/>
  <c r="F9" i="2"/>
  <c r="D38" i="24"/>
  <c r="E38" i="24"/>
  <c r="F38" i="24"/>
  <c r="G38" i="24"/>
  <c r="D37" i="24"/>
  <c r="E37" i="24"/>
  <c r="F37" i="24"/>
  <c r="G37" i="24"/>
  <c r="E36" i="24"/>
  <c r="F36" i="24"/>
  <c r="G36" i="24"/>
  <c r="D36" i="24"/>
  <c r="G14" i="24"/>
  <c r="G7" i="24"/>
  <c r="D11" i="23"/>
  <c r="D12" i="23" s="1"/>
  <c r="E11" i="23"/>
  <c r="F11" i="23"/>
  <c r="F12" i="23" s="1"/>
  <c r="G11" i="23"/>
  <c r="G12" i="23" s="1"/>
  <c r="E12" i="23"/>
  <c r="H15" i="22"/>
  <c r="I8" i="22"/>
  <c r="H8" i="22"/>
  <c r="I9" i="22"/>
  <c r="I10" i="22"/>
  <c r="I11" i="22"/>
  <c r="H9" i="22"/>
  <c r="H10" i="22"/>
  <c r="H11" i="22"/>
  <c r="F28" i="3" a="1"/>
  <c r="F2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<sst xmlns="http://schemas.openxmlformats.org/spreadsheetml/2006/main" count="696" uniqueCount="205">
  <si>
    <t>Employee No</t>
  </si>
  <si>
    <t>Name</t>
  </si>
  <si>
    <t>Location</t>
  </si>
  <si>
    <t>MTC-0001</t>
  </si>
  <si>
    <t>MTC-0066</t>
  </si>
  <si>
    <t>MTC-0094</t>
  </si>
  <si>
    <t>MTC-0103</t>
  </si>
  <si>
    <t>MTC-0113</t>
  </si>
  <si>
    <t>Bhanu K Dhar</t>
  </si>
  <si>
    <t>Jayaram KK</t>
  </si>
  <si>
    <t>Mohammed</t>
  </si>
  <si>
    <t>Ramesh Devadiga</t>
  </si>
  <si>
    <t>James PP</t>
  </si>
  <si>
    <t>Bangalore</t>
  </si>
  <si>
    <t>Chennai</t>
  </si>
  <si>
    <t>Delhi</t>
  </si>
  <si>
    <t>Cochin</t>
  </si>
  <si>
    <t>Hyderabad</t>
  </si>
  <si>
    <t>VLOOKUP</t>
  </si>
  <si>
    <t>HLOOKUP</t>
  </si>
  <si>
    <t>XLOOKUP</t>
  </si>
  <si>
    <t>Employee ID</t>
  </si>
  <si>
    <t>Department</t>
  </si>
  <si>
    <t>Region</t>
  </si>
  <si>
    <t>Month</t>
  </si>
  <si>
    <t>Sales</t>
  </si>
  <si>
    <t>E001</t>
  </si>
  <si>
    <t>Ananya Rao</t>
  </si>
  <si>
    <t>Marketing</t>
  </si>
  <si>
    <t>North</t>
  </si>
  <si>
    <t>Jan</t>
  </si>
  <si>
    <t>E002</t>
  </si>
  <si>
    <t>Karan Mehta</t>
  </si>
  <si>
    <t>South</t>
  </si>
  <si>
    <t>E003</t>
  </si>
  <si>
    <t>Priya Das</t>
  </si>
  <si>
    <t>HR</t>
  </si>
  <si>
    <t>East</t>
  </si>
  <si>
    <t>E004</t>
  </si>
  <si>
    <t>Arjun Nair</t>
  </si>
  <si>
    <t>West</t>
  </si>
  <si>
    <t>E005</t>
  </si>
  <si>
    <t>Neha Sharma</t>
  </si>
  <si>
    <t>E006</t>
  </si>
  <si>
    <t>Rohan Gupta</t>
  </si>
  <si>
    <t>IT</t>
  </si>
  <si>
    <t>E007</t>
  </si>
  <si>
    <t>Meera Patel</t>
  </si>
  <si>
    <t>E008</t>
  </si>
  <si>
    <t>Aditya Singh</t>
  </si>
  <si>
    <t>E009</t>
  </si>
  <si>
    <t>Sneha Iyer</t>
  </si>
  <si>
    <t>E010</t>
  </si>
  <si>
    <t>Varun Khanna</t>
  </si>
  <si>
    <t>{"hash":"3a983d8d95707ca384912e8b7a1e996968d2677bd59beff38b811e5d7cd86c1c","version":1,"value":"[[\"To find total sales, you need to sum up all the individual sales amounts. If you have specific data or a list of sales figures, add them together to get the total sales.\"]]"}</t>
  </si>
  <si>
    <t>NUMBERS</t>
  </si>
  <si>
    <t>TEXT</t>
  </si>
  <si>
    <t>Mon</t>
  </si>
  <si>
    <t>Tue</t>
  </si>
  <si>
    <t>Wed</t>
  </si>
  <si>
    <t>WHOLE NUMBER</t>
  </si>
  <si>
    <t>TEXT LENGTH</t>
  </si>
  <si>
    <t>DATE</t>
  </si>
  <si>
    <t>TIME</t>
  </si>
  <si>
    <t>LIST1</t>
  </si>
  <si>
    <t>LIST2</t>
  </si>
  <si>
    <t>DATA</t>
  </si>
  <si>
    <t>USA</t>
  </si>
  <si>
    <t>GERMANY</t>
  </si>
  <si>
    <t>UK</t>
  </si>
  <si>
    <t>LENDON</t>
  </si>
  <si>
    <t>DATA VALIDATION</t>
  </si>
  <si>
    <r>
      <t>Data Validation</t>
    </r>
    <r>
      <rPr>
        <sz val="11"/>
        <color theme="1"/>
        <rFont val="Calibri"/>
        <family val="2"/>
        <scheme val="minor"/>
      </rPr>
      <t xml:space="preserve"> in Excel is a feature that controls what kind of data a user can enter into a cell.</t>
    </r>
  </si>
  <si>
    <t>DATES</t>
  </si>
  <si>
    <t>Sun</t>
  </si>
  <si>
    <t>PRODUCT</t>
  </si>
  <si>
    <t>JAN</t>
  </si>
  <si>
    <t>FEB</t>
  </si>
  <si>
    <t>MARCH</t>
  </si>
  <si>
    <t>CHAIR</t>
  </si>
  <si>
    <t>TABLE</t>
  </si>
  <si>
    <t>SOFA</t>
  </si>
  <si>
    <t>PEN</t>
  </si>
  <si>
    <t>BOOK</t>
  </si>
  <si>
    <t xml:space="preserve">WALLPAPER </t>
  </si>
  <si>
    <t>PAPER</t>
  </si>
  <si>
    <t>SALARY</t>
  </si>
  <si>
    <t>Highlight One Column Value</t>
  </si>
  <si>
    <t>Top Products</t>
  </si>
  <si>
    <t>Product Code</t>
  </si>
  <si>
    <t>Quantity</t>
  </si>
  <si>
    <t>Price</t>
  </si>
  <si>
    <t>Mobile</t>
  </si>
  <si>
    <t>1000-165-8100</t>
  </si>
  <si>
    <t>Camera</t>
  </si>
  <si>
    <t>1001-540-C101</t>
  </si>
  <si>
    <t>Laptop</t>
  </si>
  <si>
    <t>1002-394-M102</t>
  </si>
  <si>
    <t>Cosmetics</t>
  </si>
  <si>
    <t>1003-307-0130</t>
  </si>
  <si>
    <t>1004-848-S104</t>
  </si>
  <si>
    <t>1005-155-S105</t>
  </si>
  <si>
    <t>Perfumes</t>
  </si>
  <si>
    <t>1006-552-T106</t>
  </si>
  <si>
    <t>1007-634-0107</t>
  </si>
  <si>
    <t>Highlight the Column and row t the same time</t>
  </si>
  <si>
    <t>Highlight the entire record</t>
  </si>
  <si>
    <t>INDIA</t>
  </si>
  <si>
    <t>COUNTRY</t>
  </si>
  <si>
    <t>MTC-0060</t>
  </si>
  <si>
    <t>filter</t>
  </si>
  <si>
    <t>unique</t>
  </si>
  <si>
    <t>transpose</t>
  </si>
  <si>
    <t>sort</t>
  </si>
  <si>
    <t>Emp_No</t>
  </si>
  <si>
    <t>Q1</t>
  </si>
  <si>
    <t>Q2</t>
  </si>
  <si>
    <t>Q3</t>
  </si>
  <si>
    <t>Q4</t>
  </si>
  <si>
    <t>A</t>
  </si>
  <si>
    <t>B</t>
  </si>
  <si>
    <t>C</t>
  </si>
  <si>
    <t>D</t>
  </si>
  <si>
    <t>E</t>
  </si>
  <si>
    <t>F</t>
  </si>
  <si>
    <t>G</t>
  </si>
  <si>
    <t>A6=$F$6</t>
  </si>
  <si>
    <t>$A20</t>
  </si>
  <si>
    <t>2-F4</t>
  </si>
  <si>
    <t>ID</t>
  </si>
  <si>
    <t>NAME</t>
  </si>
  <si>
    <t>DEP</t>
  </si>
  <si>
    <t>PLACE</t>
  </si>
  <si>
    <t>Jhon Smith</t>
  </si>
  <si>
    <t>Arun Jhon</t>
  </si>
  <si>
    <t>Dev Krish</t>
  </si>
  <si>
    <t>Jack Lon</t>
  </si>
  <si>
    <t>Mohan Krish</t>
  </si>
  <si>
    <t>Lal jos</t>
  </si>
  <si>
    <t>Aman Ram</t>
  </si>
  <si>
    <t>Swathi Dev</t>
  </si>
  <si>
    <t>Rahul Jai</t>
  </si>
  <si>
    <t>FINANCE</t>
  </si>
  <si>
    <t>SALES</t>
  </si>
  <si>
    <t>KOCHI</t>
  </si>
  <si>
    <t>BANGLOOR</t>
  </si>
  <si>
    <t>HYDERABAD</t>
  </si>
  <si>
    <t>DELHI</t>
  </si>
  <si>
    <t>KERALA</t>
  </si>
  <si>
    <t>THAMIL NADU</t>
  </si>
  <si>
    <t>PUNE</t>
  </si>
  <si>
    <t xml:space="preserve">VBA macros are automated scripts written in Visual Basic for Applications that perform repetitive tasks in Excel. </t>
  </si>
  <si>
    <t xml:space="preserve"> They help automate actions like formatting, calculations, data cleaning, and report generation with a single click,</t>
  </si>
  <si>
    <t>reducing manual effort.</t>
  </si>
  <si>
    <t>VBA Macros in Excel</t>
  </si>
  <si>
    <t>Visual Basic Application</t>
  </si>
  <si>
    <t>VLOOKUP searches for a value in the first column of a range and returns a value in the same row from another column.</t>
  </si>
  <si>
    <t>HLOOKUP searches for a value in the first row of a range and returns a value in the same column from another row.</t>
  </si>
  <si>
    <t>XLOOKUP searches a range (vertically or horizontally) and returns a value from another range, replacing VLOOKUP/HLOOKUP. It’s more flexible.</t>
  </si>
  <si>
    <t>INDEX &amp; MATCH together are more powerful than VLOOKUP.</t>
  </si>
  <si>
    <r>
      <t>INDEX</t>
    </r>
    <r>
      <rPr>
        <b/>
        <sz val="11"/>
        <color rgb="FF0070C0"/>
        <rFont val="Calibri"/>
        <family val="2"/>
        <scheme val="minor"/>
      </rPr>
      <t xml:space="preserve"> returns a value at a specific row &amp; column in a range.</t>
    </r>
  </si>
  <si>
    <r>
      <t>MATCH</t>
    </r>
    <r>
      <rPr>
        <b/>
        <sz val="11"/>
        <color rgb="FF0070C0"/>
        <rFont val="Calibri"/>
        <family val="2"/>
        <scheme val="minor"/>
      </rPr>
      <t xml:space="preserve"> returns the position of a value in a range.</t>
    </r>
  </si>
  <si>
    <t>Together: find value anywhere without VLOOKUP’s left-column limitation.</t>
  </si>
  <si>
    <t>Conditional Formatting in Excel is a feature that automatically changes the appearance of a cell or range of cells based on specific criteria or conditions.</t>
  </si>
  <si>
    <t>You can highlight, color, or format cells depending on their values.</t>
  </si>
  <si>
    <t>Helps visualize trends, patterns, and outliers in data quickly.</t>
  </si>
  <si>
    <t>Sparklines are tiny, simple charts that fit inside a single cell in Excel to visually represent data trends over a series of values.</t>
  </si>
  <si>
    <t>They show trends, patterns, and variations in a compact form.</t>
  </si>
  <si>
    <t>Ideal for spotting increases, decreases, or seasonal patterns without creating full charts</t>
  </si>
  <si>
    <t>3D SUM in Excel is a formula that adds values from the same cell or range across multiple worksheets in the same workbook.</t>
  </si>
  <si>
    <t>Consolidation in Excel is a feature that combines data from multiple worksheets or workbooks into a single summary sheet.</t>
  </si>
  <si>
    <t>MTC-0002</t>
  </si>
  <si>
    <t>MTC-0067</t>
  </si>
  <si>
    <t>MTC-0087</t>
  </si>
  <si>
    <t>MTC-0101</t>
  </si>
  <si>
    <t>MTC-0111</t>
  </si>
  <si>
    <t>MTC-0009</t>
  </si>
  <si>
    <t>MTC-0068</t>
  </si>
  <si>
    <t>MTC-0090</t>
  </si>
  <si>
    <t>MTC-0100</t>
  </si>
  <si>
    <t>MTC-0119</t>
  </si>
  <si>
    <t>MTC-0000</t>
  </si>
  <si>
    <t>MTC-0069</t>
  </si>
  <si>
    <t>MTC-0080</t>
  </si>
  <si>
    <t>MTC-0102</t>
  </si>
  <si>
    <t>MTC-0110</t>
  </si>
  <si>
    <t>Rohan R</t>
  </si>
  <si>
    <t>Prakash</t>
  </si>
  <si>
    <t xml:space="preserve">Dev </t>
  </si>
  <si>
    <t>Krish VJ</t>
  </si>
  <si>
    <t>Ram Vijay</t>
  </si>
  <si>
    <t xml:space="preserve">Mathew </t>
  </si>
  <si>
    <t>Jhon</t>
  </si>
  <si>
    <t xml:space="preserve">Rosna </t>
  </si>
  <si>
    <t>Devik</t>
  </si>
  <si>
    <t>Damsan</t>
  </si>
  <si>
    <t>Lakesh</t>
  </si>
  <si>
    <t>Sudshin</t>
  </si>
  <si>
    <t>Revathi</t>
  </si>
  <si>
    <t>Jack</t>
  </si>
  <si>
    <t>Leo</t>
  </si>
  <si>
    <t>Salary</t>
  </si>
  <si>
    <t>rasheedkaaa</t>
  </si>
  <si>
    <t>ismayilkaaa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</si>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</sst>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0070C0"/>
      <name val="Arial Unicode MS"/>
      <family val="2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/>
    <xf numFmtId="14" fontId="0" fillId="0" borderId="0" xfId="0" applyNumberFormat="1"/>
    <xf numFmtId="0" fontId="0" fillId="3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 wrapText="1"/>
    </xf>
    <xf numFmtId="0" fontId="0" fillId="4" borderId="3" xfId="0" applyFont="1" applyFill="1" applyBorder="1" applyAlignment="1">
      <alignment vertical="center" wrapText="1"/>
    </xf>
    <xf numFmtId="0" fontId="2" fillId="0" borderId="4" xfId="0" applyFont="1" applyBorder="1"/>
    <xf numFmtId="0" fontId="2" fillId="0" borderId="6" xfId="0" applyFont="1" applyBorder="1" applyAlignment="1">
      <alignment vertical="center"/>
    </xf>
    <xf numFmtId="0" fontId="1" fillId="6" borderId="0" xfId="0" applyFont="1" applyFill="1"/>
    <xf numFmtId="0" fontId="0" fillId="6" borderId="0" xfId="0" applyFill="1"/>
    <xf numFmtId="0" fontId="3" fillId="5" borderId="0" xfId="0" applyFont="1" applyFill="1"/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/>
    <xf numFmtId="0" fontId="1" fillId="9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/>
    <xf numFmtId="0" fontId="1" fillId="9" borderId="0" xfId="0" applyFont="1" applyFill="1"/>
    <xf numFmtId="0" fontId="0" fillId="0" borderId="0" xfId="0" applyBorder="1"/>
    <xf numFmtId="0" fontId="0" fillId="0" borderId="0" xfId="0" applyFill="1" applyBorder="1"/>
    <xf numFmtId="0" fontId="2" fillId="8" borderId="0" xfId="0" applyFont="1" applyFill="1"/>
    <xf numFmtId="0" fontId="2" fillId="0" borderId="0" xfId="0" applyFont="1"/>
    <xf numFmtId="0" fontId="1" fillId="10" borderId="0" xfId="0" applyFont="1" applyFill="1"/>
    <xf numFmtId="0" fontId="1" fillId="11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 wrapText="1"/>
    </xf>
    <xf numFmtId="0" fontId="0" fillId="0" borderId="0" xfId="0" applyFill="1"/>
    <xf numFmtId="0" fontId="1" fillId="0" borderId="0" xfId="0" applyFont="1" applyFill="1" applyBorder="1"/>
    <xf numFmtId="0" fontId="5" fillId="12" borderId="0" xfId="0" applyFont="1" applyFill="1"/>
    <xf numFmtId="0" fontId="0" fillId="12" borderId="0" xfId="0" applyFill="1"/>
    <xf numFmtId="0" fontId="5" fillId="12" borderId="0" xfId="0" applyFont="1" applyFill="1" applyAlignment="1">
      <alignment horizontal="left" vertical="center" indent="1"/>
    </xf>
    <xf numFmtId="0" fontId="7" fillId="12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7" borderId="1" xfId="0" applyFont="1" applyFill="1" applyBorder="1"/>
    <xf numFmtId="0" fontId="0" fillId="0" borderId="1" xfId="0" applyBorder="1"/>
    <xf numFmtId="0" fontId="1" fillId="7" borderId="5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13" borderId="1" xfId="0" applyFill="1" applyBorder="1"/>
    <xf numFmtId="0" fontId="8" fillId="13" borderId="1" xfId="1" applyFill="1" applyBorder="1"/>
    <xf numFmtId="0" fontId="0" fillId="13" borderId="5" xfId="0" applyFill="1" applyBorder="1"/>
    <xf numFmtId="0" fontId="1" fillId="5" borderId="1" xfId="0" applyFont="1" applyFill="1" applyBorder="1"/>
    <xf numFmtId="0" fontId="0" fillId="0" borderId="0" xfId="0" applyFont="1"/>
    <xf numFmtId="14" fontId="0" fillId="0" borderId="0" xfId="0" applyNumberFormat="1" applyFont="1"/>
  </cellXfs>
  <cellStyles count="2">
    <cellStyle name="Hyperlink" xfId="1" builtinId="8"/>
    <cellStyle name="Normal" xfId="0" builtinId="0"/>
  </cellStyles>
  <dxfs count="23"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D5EF8-30F7-4295-B8C9-ABF528ACF633}" name="Table1" displayName="Table1" ref="A1:F11" totalsRowShown="0" headerRowDxfId="22" dataDxfId="21">
  <autoFilter ref="A1:F11" xr:uid="{5BFD5EF8-30F7-4295-B8C9-ABF528ACF633}"/>
  <tableColumns count="6">
    <tableColumn id="1" xr3:uid="{18DD6B1C-0358-44EC-B396-046F0FCF64AF}" name="Employee ID" dataDxfId="20"/>
    <tableColumn id="2" xr3:uid="{04D9B9C0-35A2-4CB2-B71A-A669733269A9}" name="Name" dataDxfId="19"/>
    <tableColumn id="3" xr3:uid="{F8B4AB0F-3B01-443D-9984-E6062721207F}" name="Department" dataDxfId="18"/>
    <tableColumn id="4" xr3:uid="{A15629ED-53CE-4AD3-A482-B5D7E8EDAF6E}" name="Region" dataDxfId="17"/>
    <tableColumn id="5" xr3:uid="{0CD1C6F9-BE05-4AC2-977D-9C0AB9EF5D11}" name="Month" dataDxfId="16"/>
    <tableColumn id="6" xr3:uid="{7B6CDD08-82E9-4FB9-8477-A6A4510F8C43}" name="Sales" dataDxfId="1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84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C38356-BC4A-421B-99D1-88DBCC08FAD8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KhGwZFghyatkUF4UkeAE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A424-4191-40B5-90CC-5AF1303DAB63}">
  <dimension ref="A1:I22"/>
  <sheetViews>
    <sheetView tabSelected="1" zoomScale="160" workbookViewId="0">
      <selection activeCell="F10" sqref="F10"/>
    </sheetView>
  </sheetViews>
  <sheetFormatPr defaultRowHeight="14.4" x14ac:dyDescent="0.3"/>
  <cols>
    <col min="1" max="1" width="12.21875" bestFit="1" customWidth="1"/>
    <col min="2" max="2" width="15.44140625" bestFit="1" customWidth="1"/>
    <col min="3" max="3" width="9.77734375" bestFit="1" customWidth="1"/>
    <col min="4" max="4" width="8.88671875" customWidth="1"/>
    <col min="7" max="7" width="12.21875" bestFit="1" customWidth="1"/>
    <col min="8" max="8" width="15.44140625" bestFit="1" customWidth="1"/>
    <col min="9" max="9" width="9.21875" bestFit="1" customWidth="1"/>
  </cols>
  <sheetData>
    <row r="1" spans="1:9" ht="15" thickBot="1" x14ac:dyDescent="0.35">
      <c r="A1" s="9" t="s">
        <v>18</v>
      </c>
      <c r="D1" s="33" t="s">
        <v>156</v>
      </c>
    </row>
    <row r="2" spans="1:9" x14ac:dyDescent="0.3">
      <c r="A2" s="42" t="s">
        <v>0</v>
      </c>
      <c r="B2" s="43" t="s">
        <v>1</v>
      </c>
      <c r="C2" s="43" t="s">
        <v>2</v>
      </c>
    </row>
    <row r="3" spans="1:9" x14ac:dyDescent="0.3">
      <c r="A3" t="s">
        <v>3</v>
      </c>
      <c r="B3" t="s">
        <v>8</v>
      </c>
      <c r="C3" t="s">
        <v>13</v>
      </c>
    </row>
    <row r="4" spans="1:9" x14ac:dyDescent="0.3">
      <c r="A4" t="s">
        <v>4</v>
      </c>
      <c r="B4" t="s">
        <v>9</v>
      </c>
      <c r="C4" t="s">
        <v>14</v>
      </c>
    </row>
    <row r="5" spans="1:9" x14ac:dyDescent="0.3">
      <c r="A5" t="s">
        <v>5</v>
      </c>
      <c r="B5" t="s">
        <v>10</v>
      </c>
      <c r="C5" t="s">
        <v>15</v>
      </c>
    </row>
    <row r="6" spans="1:9" x14ac:dyDescent="0.3">
      <c r="A6" t="s">
        <v>6</v>
      </c>
      <c r="B6" t="s">
        <v>11</v>
      </c>
      <c r="C6" t="s">
        <v>16</v>
      </c>
    </row>
    <row r="7" spans="1:9" x14ac:dyDescent="0.3">
      <c r="A7" t="s">
        <v>7</v>
      </c>
      <c r="B7" t="s">
        <v>12</v>
      </c>
      <c r="C7" t="s">
        <v>17</v>
      </c>
      <c r="G7" s="42" t="s">
        <v>0</v>
      </c>
      <c r="H7" s="43" t="s">
        <v>1</v>
      </c>
      <c r="I7" s="43" t="s">
        <v>2</v>
      </c>
    </row>
    <row r="8" spans="1:9" x14ac:dyDescent="0.3">
      <c r="A8" t="s">
        <v>171</v>
      </c>
      <c r="B8" t="s">
        <v>186</v>
      </c>
      <c r="C8" t="s">
        <v>15</v>
      </c>
      <c r="G8" t="s">
        <v>3</v>
      </c>
      <c r="H8" t="str">
        <f>VLOOKUP(G8,A3:C22,2,FALSE)</f>
        <v>Bhanu K Dhar</v>
      </c>
      <c r="I8" t="str">
        <f>VLOOKUP(G8,A3:C22,3,FALSE)</f>
        <v>Bangalore</v>
      </c>
    </row>
    <row r="9" spans="1:9" x14ac:dyDescent="0.3">
      <c r="A9" t="s">
        <v>172</v>
      </c>
      <c r="B9" t="s">
        <v>187</v>
      </c>
      <c r="C9" t="s">
        <v>16</v>
      </c>
      <c r="G9" t="s">
        <v>6</v>
      </c>
      <c r="H9" t="str">
        <f t="shared" ref="H9:H11" si="0">VLOOKUP(G9,A4:C23,2,FALSE)</f>
        <v>Ramesh Devadiga</v>
      </c>
      <c r="I9" t="str">
        <f t="shared" ref="I9:I11" si="1">VLOOKUP(G9,A4:C23,3,FALSE)</f>
        <v>Cochin</v>
      </c>
    </row>
    <row r="10" spans="1:9" x14ac:dyDescent="0.3">
      <c r="A10" t="s">
        <v>173</v>
      </c>
      <c r="B10" t="s">
        <v>188</v>
      </c>
      <c r="C10" t="s">
        <v>14</v>
      </c>
      <c r="G10" t="s">
        <v>182</v>
      </c>
      <c r="H10" t="str">
        <f t="shared" si="0"/>
        <v>Sudshin</v>
      </c>
      <c r="I10" t="str">
        <f t="shared" si="1"/>
        <v>Cochin</v>
      </c>
    </row>
    <row r="11" spans="1:9" x14ac:dyDescent="0.3">
      <c r="A11" t="s">
        <v>174</v>
      </c>
      <c r="B11" t="s">
        <v>189</v>
      </c>
      <c r="C11" t="s">
        <v>17</v>
      </c>
      <c r="G11" t="s">
        <v>172</v>
      </c>
      <c r="H11" t="str">
        <f t="shared" si="0"/>
        <v>Prakash</v>
      </c>
      <c r="I11" t="str">
        <f t="shared" si="1"/>
        <v>Cochin</v>
      </c>
    </row>
    <row r="12" spans="1:9" x14ac:dyDescent="0.3">
      <c r="A12" t="s">
        <v>175</v>
      </c>
      <c r="B12" t="s">
        <v>190</v>
      </c>
      <c r="C12" t="s">
        <v>17</v>
      </c>
    </row>
    <row r="13" spans="1:9" x14ac:dyDescent="0.3">
      <c r="A13" t="s">
        <v>176</v>
      </c>
      <c r="B13" t="s">
        <v>191</v>
      </c>
      <c r="C13" t="s">
        <v>17</v>
      </c>
    </row>
    <row r="14" spans="1:9" x14ac:dyDescent="0.3">
      <c r="A14" t="s">
        <v>177</v>
      </c>
      <c r="B14" t="s">
        <v>192</v>
      </c>
      <c r="C14" t="s">
        <v>15</v>
      </c>
      <c r="G14" s="43" t="s">
        <v>1</v>
      </c>
      <c r="H14" s="42" t="s">
        <v>0</v>
      </c>
    </row>
    <row r="15" spans="1:9" x14ac:dyDescent="0.3">
      <c r="A15" t="s">
        <v>178</v>
      </c>
      <c r="B15" t="s">
        <v>193</v>
      </c>
      <c r="C15" t="s">
        <v>15</v>
      </c>
      <c r="G15" t="s">
        <v>187</v>
      </c>
      <c r="H15" t="str">
        <f>IFERROR(VLOOKUP(G15,A3:C20,1,FALSE),"error occurred")</f>
        <v>error occurred</v>
      </c>
    </row>
    <row r="16" spans="1:9" x14ac:dyDescent="0.3">
      <c r="A16" t="s">
        <v>179</v>
      </c>
      <c r="B16" t="s">
        <v>194</v>
      </c>
      <c r="C16" t="s">
        <v>16</v>
      </c>
      <c r="G16" t="s">
        <v>193</v>
      </c>
      <c r="H16" t="s">
        <v>202</v>
      </c>
    </row>
    <row r="17" spans="1:8" x14ac:dyDescent="0.3">
      <c r="A17" t="s">
        <v>180</v>
      </c>
      <c r="B17" t="s">
        <v>195</v>
      </c>
      <c r="C17" t="s">
        <v>17</v>
      </c>
      <c r="G17" t="s">
        <v>197</v>
      </c>
      <c r="H17" t="s">
        <v>203</v>
      </c>
    </row>
    <row r="18" spans="1:8" x14ac:dyDescent="0.3">
      <c r="A18" t="s">
        <v>181</v>
      </c>
      <c r="B18" t="s">
        <v>196</v>
      </c>
      <c r="C18" t="s">
        <v>15</v>
      </c>
    </row>
    <row r="19" spans="1:8" x14ac:dyDescent="0.3">
      <c r="A19" t="s">
        <v>182</v>
      </c>
      <c r="B19" t="s">
        <v>197</v>
      </c>
      <c r="C19" t="s">
        <v>16</v>
      </c>
    </row>
    <row r="20" spans="1:8" x14ac:dyDescent="0.3">
      <c r="A20" t="s">
        <v>183</v>
      </c>
      <c r="B20" t="s">
        <v>198</v>
      </c>
      <c r="C20" t="s">
        <v>14</v>
      </c>
    </row>
    <row r="21" spans="1:8" x14ac:dyDescent="0.3">
      <c r="A21" t="s">
        <v>184</v>
      </c>
      <c r="B21" t="s">
        <v>199</v>
      </c>
      <c r="C21" t="s">
        <v>17</v>
      </c>
    </row>
    <row r="22" spans="1:8" x14ac:dyDescent="0.3">
      <c r="A22" t="s">
        <v>185</v>
      </c>
      <c r="B22" t="s">
        <v>200</v>
      </c>
      <c r="C22" t="s">
        <v>15</v>
      </c>
    </row>
  </sheetData>
  <conditionalFormatting sqref="A1:A1048576">
    <cfRule type="duplicateValues" dxfId="14" priority="7"/>
  </conditionalFormatting>
  <conditionalFormatting sqref="G7">
    <cfRule type="duplicateValues" dxfId="13" priority="6"/>
  </conditionalFormatting>
  <conditionalFormatting sqref="G8">
    <cfRule type="duplicateValues" dxfId="12" priority="5"/>
  </conditionalFormatting>
  <conditionalFormatting sqref="G9">
    <cfRule type="duplicateValues" dxfId="11" priority="4"/>
  </conditionalFormatting>
  <conditionalFormatting sqref="G10">
    <cfRule type="duplicateValues" dxfId="10" priority="3"/>
  </conditionalFormatting>
  <conditionalFormatting sqref="G11">
    <cfRule type="duplicateValues" dxfId="9" priority="2"/>
  </conditionalFormatting>
  <conditionalFormatting sqref="H14">
    <cfRule type="duplicateValues" dxfId="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3242-3797-441D-8DB2-B7B47FA40D30}">
  <dimension ref="A1:U17"/>
  <sheetViews>
    <sheetView zoomScale="156" workbookViewId="0">
      <selection activeCell="A15" sqref="A15"/>
    </sheetView>
  </sheetViews>
  <sheetFormatPr defaultColWidth="11" defaultRowHeight="14.4" x14ac:dyDescent="0.3"/>
  <cols>
    <col min="1" max="1" width="18.109375" customWidth="1"/>
    <col min="3" max="3" width="12.44140625" bestFit="1" customWidth="1"/>
    <col min="4" max="4" width="16.44140625" customWidth="1"/>
    <col min="5" max="5" width="15.6640625" customWidth="1"/>
    <col min="6" max="6" width="9.88671875" bestFit="1" customWidth="1"/>
  </cols>
  <sheetData>
    <row r="1" spans="1:21" ht="15" thickBot="1" x14ac:dyDescent="0.35">
      <c r="A1" s="9" t="s">
        <v>19</v>
      </c>
      <c r="D1" s="33" t="s">
        <v>157</v>
      </c>
    </row>
    <row r="3" spans="1:21" x14ac:dyDescent="0.3">
      <c r="A3" s="40" t="s">
        <v>0</v>
      </c>
      <c r="B3" s="41" t="s">
        <v>3</v>
      </c>
      <c r="C3" s="41" t="s">
        <v>4</v>
      </c>
      <c r="D3" s="41" t="s">
        <v>5</v>
      </c>
      <c r="E3" s="41" t="s">
        <v>6</v>
      </c>
      <c r="F3" s="41" t="s">
        <v>7</v>
      </c>
      <c r="G3" s="41" t="s">
        <v>171</v>
      </c>
      <c r="H3" s="41" t="s">
        <v>172</v>
      </c>
      <c r="I3" s="41" t="s">
        <v>173</v>
      </c>
      <c r="J3" s="41" t="s">
        <v>174</v>
      </c>
      <c r="K3" s="41" t="s">
        <v>175</v>
      </c>
      <c r="L3" s="41" t="s">
        <v>176</v>
      </c>
      <c r="M3" s="41" t="s">
        <v>177</v>
      </c>
      <c r="N3" s="41" t="s">
        <v>178</v>
      </c>
      <c r="O3" s="41" t="s">
        <v>179</v>
      </c>
      <c r="P3" s="41" t="s">
        <v>180</v>
      </c>
      <c r="Q3" s="41" t="s">
        <v>181</v>
      </c>
      <c r="R3" s="41" t="s">
        <v>182</v>
      </c>
      <c r="S3" s="41" t="s">
        <v>183</v>
      </c>
      <c r="T3" s="41" t="s">
        <v>184</v>
      </c>
      <c r="U3" s="41" t="s">
        <v>185</v>
      </c>
    </row>
    <row r="4" spans="1:21" x14ac:dyDescent="0.3">
      <c r="A4" s="40" t="s">
        <v>1</v>
      </c>
      <c r="B4" s="41" t="s">
        <v>8</v>
      </c>
      <c r="C4" s="41" t="s">
        <v>9</v>
      </c>
      <c r="D4" s="41" t="s">
        <v>10</v>
      </c>
      <c r="E4" s="41" t="s">
        <v>11</v>
      </c>
      <c r="F4" s="41" t="s">
        <v>12</v>
      </c>
      <c r="G4" s="41" t="s">
        <v>186</v>
      </c>
      <c r="H4" s="41" t="s">
        <v>187</v>
      </c>
      <c r="I4" s="41" t="s">
        <v>188</v>
      </c>
      <c r="J4" s="41" t="s">
        <v>189</v>
      </c>
      <c r="K4" s="41" t="s">
        <v>190</v>
      </c>
      <c r="L4" s="41" t="s">
        <v>191</v>
      </c>
      <c r="M4" s="41" t="s">
        <v>192</v>
      </c>
      <c r="N4" s="41" t="s">
        <v>193</v>
      </c>
      <c r="O4" s="41" t="s">
        <v>194</v>
      </c>
      <c r="P4" s="41" t="s">
        <v>195</v>
      </c>
      <c r="Q4" s="41" t="s">
        <v>196</v>
      </c>
      <c r="R4" s="41" t="s">
        <v>197</v>
      </c>
      <c r="S4" s="41" t="s">
        <v>198</v>
      </c>
      <c r="T4" s="41" t="s">
        <v>199</v>
      </c>
      <c r="U4" s="41" t="s">
        <v>200</v>
      </c>
    </row>
    <row r="5" spans="1:21" x14ac:dyDescent="0.3">
      <c r="A5" s="40" t="s">
        <v>2</v>
      </c>
      <c r="B5" s="41" t="s">
        <v>13</v>
      </c>
      <c r="C5" s="41" t="s">
        <v>14</v>
      </c>
      <c r="D5" s="41" t="s">
        <v>15</v>
      </c>
      <c r="E5" s="41" t="s">
        <v>16</v>
      </c>
      <c r="F5" s="41" t="s">
        <v>17</v>
      </c>
      <c r="G5" s="41" t="s">
        <v>15</v>
      </c>
      <c r="H5" s="41" t="s">
        <v>16</v>
      </c>
      <c r="I5" s="41" t="s">
        <v>14</v>
      </c>
      <c r="J5" s="41" t="s">
        <v>17</v>
      </c>
      <c r="K5" s="41" t="s">
        <v>17</v>
      </c>
      <c r="L5" s="41" t="s">
        <v>17</v>
      </c>
      <c r="M5" s="41" t="s">
        <v>15</v>
      </c>
      <c r="N5" s="41" t="s">
        <v>15</v>
      </c>
      <c r="O5" s="41" t="s">
        <v>16</v>
      </c>
      <c r="P5" s="41" t="s">
        <v>17</v>
      </c>
      <c r="Q5" s="41" t="s">
        <v>15</v>
      </c>
      <c r="R5" s="41" t="s">
        <v>16</v>
      </c>
      <c r="S5" s="41" t="s">
        <v>14</v>
      </c>
      <c r="T5" s="41" t="s">
        <v>17</v>
      </c>
      <c r="U5" s="41" t="s">
        <v>15</v>
      </c>
    </row>
    <row r="6" spans="1:21" x14ac:dyDescent="0.3">
      <c r="A6" s="40" t="s">
        <v>201</v>
      </c>
      <c r="B6" s="41">
        <v>45000</v>
      </c>
      <c r="C6" s="41">
        <v>56000</v>
      </c>
      <c r="D6" s="41">
        <v>72000</v>
      </c>
      <c r="E6" s="41">
        <v>34000</v>
      </c>
      <c r="F6" s="41">
        <v>90000</v>
      </c>
      <c r="G6" s="41">
        <v>54000</v>
      </c>
      <c r="H6" s="41">
        <v>56000</v>
      </c>
      <c r="I6" s="41">
        <v>72000</v>
      </c>
      <c r="J6" s="41">
        <v>90000</v>
      </c>
      <c r="K6" s="41">
        <v>54000</v>
      </c>
      <c r="L6" s="41">
        <v>56000</v>
      </c>
      <c r="M6" s="41">
        <v>72000</v>
      </c>
      <c r="N6" s="41">
        <v>34000</v>
      </c>
      <c r="O6" s="41">
        <v>90000</v>
      </c>
      <c r="P6" s="41">
        <v>54000</v>
      </c>
      <c r="Q6" s="41">
        <v>56000</v>
      </c>
      <c r="R6" s="41">
        <v>72000</v>
      </c>
      <c r="S6" s="41">
        <v>56000</v>
      </c>
      <c r="T6" s="41">
        <v>72000</v>
      </c>
      <c r="U6" s="41">
        <v>34000</v>
      </c>
    </row>
    <row r="10" spans="1:21" x14ac:dyDescent="0.3">
      <c r="C10" s="40" t="s">
        <v>0</v>
      </c>
      <c r="D10" s="41" t="s">
        <v>3</v>
      </c>
      <c r="E10" s="41" t="s">
        <v>6</v>
      </c>
      <c r="F10" s="41" t="s">
        <v>175</v>
      </c>
      <c r="G10" s="41" t="s">
        <v>180</v>
      </c>
    </row>
    <row r="11" spans="1:21" x14ac:dyDescent="0.3">
      <c r="C11" s="40" t="s">
        <v>1</v>
      </c>
      <c r="D11" t="str">
        <f>HLOOKUP(D10,B3:U6,2,FALSE)</f>
        <v>Bhanu K Dhar</v>
      </c>
      <c r="E11" t="str">
        <f t="shared" ref="E11:G11" si="0">HLOOKUP(E10,C3:V6,2,FALSE)</f>
        <v>Ramesh Devadiga</v>
      </c>
      <c r="F11" t="str">
        <f t="shared" si="0"/>
        <v>Ram Vijay</v>
      </c>
      <c r="G11" t="str">
        <f t="shared" si="0"/>
        <v>Damsan</v>
      </c>
    </row>
    <row r="12" spans="1:21" x14ac:dyDescent="0.3">
      <c r="C12" s="40" t="s">
        <v>2</v>
      </c>
      <c r="D12" t="str">
        <f>HLOOKUP(D11,B4:U7,2,FALSE)</f>
        <v>Bangalore</v>
      </c>
      <c r="E12" t="str">
        <f t="shared" ref="E12:G12" si="1">HLOOKUP(E11,C4:V7,2,FALSE)</f>
        <v>Cochin</v>
      </c>
      <c r="F12" t="str">
        <f t="shared" si="1"/>
        <v>Hyderabad</v>
      </c>
      <c r="G12" t="str">
        <f t="shared" si="1"/>
        <v>Hyderabad</v>
      </c>
    </row>
    <row r="13" spans="1:21" x14ac:dyDescent="0.3">
      <c r="C13" s="40" t="s">
        <v>201</v>
      </c>
    </row>
    <row r="16" spans="1:21" x14ac:dyDescent="0.3">
      <c r="C16" s="40" t="s">
        <v>1</v>
      </c>
      <c r="D16" s="41" t="s">
        <v>8</v>
      </c>
      <c r="E16" s="41" t="s">
        <v>11</v>
      </c>
      <c r="F16" s="41" t="s">
        <v>188</v>
      </c>
    </row>
    <row r="17" spans="3:3" x14ac:dyDescent="0.3">
      <c r="C17" s="40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7D71-C494-43A2-8886-E8EB254BFC0B}">
  <dimension ref="A1:U42"/>
  <sheetViews>
    <sheetView topLeftCell="A29" zoomScale="173" workbookViewId="0">
      <selection activeCell="E41" sqref="E41"/>
    </sheetView>
  </sheetViews>
  <sheetFormatPr defaultRowHeight="14.4" x14ac:dyDescent="0.3"/>
  <cols>
    <col min="1" max="1" width="12.21875" bestFit="1" customWidth="1"/>
    <col min="2" max="2" width="15.5546875" bestFit="1" customWidth="1"/>
    <col min="3" max="3" width="14" customWidth="1"/>
    <col min="4" max="4" width="12.44140625" customWidth="1"/>
    <col min="5" max="5" width="17" customWidth="1"/>
    <col min="6" max="6" width="15.5546875" bestFit="1" customWidth="1"/>
    <col min="7" max="7" width="11.44140625" customWidth="1"/>
  </cols>
  <sheetData>
    <row r="1" spans="1:8" ht="15" thickBot="1" x14ac:dyDescent="0.35">
      <c r="A1" s="9" t="s">
        <v>20</v>
      </c>
      <c r="C1" s="33" t="s">
        <v>158</v>
      </c>
      <c r="D1" s="34"/>
    </row>
    <row r="4" spans="1:8" x14ac:dyDescent="0.3">
      <c r="A4" s="42" t="s">
        <v>0</v>
      </c>
      <c r="B4" s="43" t="s">
        <v>1</v>
      </c>
      <c r="C4" s="43" t="s">
        <v>2</v>
      </c>
    </row>
    <row r="5" spans="1:8" x14ac:dyDescent="0.3">
      <c r="A5" t="s">
        <v>3</v>
      </c>
      <c r="B5" t="s">
        <v>8</v>
      </c>
      <c r="C5" t="s">
        <v>13</v>
      </c>
    </row>
    <row r="6" spans="1:8" x14ac:dyDescent="0.3">
      <c r="A6" t="s">
        <v>4</v>
      </c>
      <c r="B6" t="s">
        <v>9</v>
      </c>
      <c r="C6" t="s">
        <v>14</v>
      </c>
      <c r="F6" s="42" t="s">
        <v>0</v>
      </c>
      <c r="G6" s="43" t="s">
        <v>1</v>
      </c>
      <c r="H6" s="43" t="s">
        <v>2</v>
      </c>
    </row>
    <row r="7" spans="1:8" x14ac:dyDescent="0.3">
      <c r="A7" t="s">
        <v>5</v>
      </c>
      <c r="B7" t="s">
        <v>10</v>
      </c>
      <c r="C7" t="s">
        <v>15</v>
      </c>
      <c r="F7" t="s">
        <v>3</v>
      </c>
      <c r="G7" t="str">
        <f>_xlfn.XLOOKUP(F7,A5:A24,B5:B24,"not found",0)</f>
        <v>Bhanu K Dhar</v>
      </c>
    </row>
    <row r="8" spans="1:8" x14ac:dyDescent="0.3">
      <c r="A8" t="s">
        <v>6</v>
      </c>
      <c r="B8" t="s">
        <v>11</v>
      </c>
      <c r="C8" t="s">
        <v>16</v>
      </c>
      <c r="F8" t="s">
        <v>6</v>
      </c>
    </row>
    <row r="9" spans="1:8" x14ac:dyDescent="0.3">
      <c r="A9" t="s">
        <v>7</v>
      </c>
      <c r="B9" t="s">
        <v>12</v>
      </c>
      <c r="C9" t="s">
        <v>17</v>
      </c>
      <c r="F9" t="s">
        <v>182</v>
      </c>
    </row>
    <row r="10" spans="1:8" x14ac:dyDescent="0.3">
      <c r="A10" t="s">
        <v>171</v>
      </c>
      <c r="B10" t="s">
        <v>186</v>
      </c>
      <c r="C10" t="s">
        <v>15</v>
      </c>
      <c r="F10" t="s">
        <v>172</v>
      </c>
    </row>
    <row r="11" spans="1:8" x14ac:dyDescent="0.3">
      <c r="A11" t="s">
        <v>172</v>
      </c>
      <c r="B11" t="s">
        <v>187</v>
      </c>
      <c r="C11" t="s">
        <v>16</v>
      </c>
    </row>
    <row r="12" spans="1:8" x14ac:dyDescent="0.3">
      <c r="A12" t="s">
        <v>173</v>
      </c>
      <c r="B12" t="s">
        <v>188</v>
      </c>
      <c r="C12" t="s">
        <v>14</v>
      </c>
    </row>
    <row r="13" spans="1:8" x14ac:dyDescent="0.3">
      <c r="A13" t="s">
        <v>174</v>
      </c>
      <c r="B13" t="s">
        <v>189</v>
      </c>
      <c r="C13" t="s">
        <v>17</v>
      </c>
      <c r="F13" s="43" t="s">
        <v>1</v>
      </c>
      <c r="G13" s="42" t="s">
        <v>0</v>
      </c>
    </row>
    <row r="14" spans="1:8" x14ac:dyDescent="0.3">
      <c r="A14" t="s">
        <v>175</v>
      </c>
      <c r="B14" t="s">
        <v>190</v>
      </c>
      <c r="C14" t="s">
        <v>17</v>
      </c>
      <c r="F14" t="s">
        <v>11</v>
      </c>
      <c r="G14" t="str">
        <f>_xlfn.XLOOKUP(F14,B5:B24,A5:A24,"not found",0)</f>
        <v>MTC-0103</v>
      </c>
    </row>
    <row r="15" spans="1:8" x14ac:dyDescent="0.3">
      <c r="A15" t="s">
        <v>176</v>
      </c>
      <c r="B15" t="s">
        <v>191</v>
      </c>
      <c r="C15" t="s">
        <v>17</v>
      </c>
      <c r="F15" t="s">
        <v>192</v>
      </c>
    </row>
    <row r="16" spans="1:8" x14ac:dyDescent="0.3">
      <c r="A16" t="s">
        <v>177</v>
      </c>
      <c r="B16" t="s">
        <v>192</v>
      </c>
      <c r="C16" t="s">
        <v>15</v>
      </c>
      <c r="F16" t="s">
        <v>190</v>
      </c>
    </row>
    <row r="17" spans="1:21" x14ac:dyDescent="0.3">
      <c r="A17" t="s">
        <v>178</v>
      </c>
      <c r="B17" t="s">
        <v>193</v>
      </c>
      <c r="C17" t="s">
        <v>15</v>
      </c>
    </row>
    <row r="18" spans="1:21" x14ac:dyDescent="0.3">
      <c r="A18" t="s">
        <v>179</v>
      </c>
      <c r="B18" t="s">
        <v>194</v>
      </c>
      <c r="C18" t="s">
        <v>16</v>
      </c>
    </row>
    <row r="19" spans="1:21" x14ac:dyDescent="0.3">
      <c r="A19" t="s">
        <v>180</v>
      </c>
      <c r="B19" t="s">
        <v>195</v>
      </c>
      <c r="C19" t="s">
        <v>17</v>
      </c>
    </row>
    <row r="20" spans="1:21" x14ac:dyDescent="0.3">
      <c r="A20" t="s">
        <v>181</v>
      </c>
      <c r="B20" t="s">
        <v>196</v>
      </c>
      <c r="C20" t="s">
        <v>15</v>
      </c>
    </row>
    <row r="21" spans="1:21" x14ac:dyDescent="0.3">
      <c r="A21" t="s">
        <v>182</v>
      </c>
      <c r="B21" t="s">
        <v>197</v>
      </c>
      <c r="C21" t="s">
        <v>16</v>
      </c>
    </row>
    <row r="22" spans="1:21" x14ac:dyDescent="0.3">
      <c r="A22" t="s">
        <v>183</v>
      </c>
      <c r="B22" t="s">
        <v>198</v>
      </c>
      <c r="C22" t="s">
        <v>14</v>
      </c>
    </row>
    <row r="23" spans="1:21" x14ac:dyDescent="0.3">
      <c r="A23" t="s">
        <v>184</v>
      </c>
      <c r="B23" t="s">
        <v>199</v>
      </c>
      <c r="C23" t="s">
        <v>17</v>
      </c>
    </row>
    <row r="24" spans="1:21" x14ac:dyDescent="0.3">
      <c r="A24" t="s">
        <v>185</v>
      </c>
      <c r="B24" t="s">
        <v>200</v>
      </c>
      <c r="C24" t="s">
        <v>15</v>
      </c>
    </row>
    <row r="28" spans="1:21" x14ac:dyDescent="0.3">
      <c r="A28" s="40" t="s">
        <v>0</v>
      </c>
      <c r="B28" s="41" t="s">
        <v>3</v>
      </c>
      <c r="C28" s="41" t="s">
        <v>4</v>
      </c>
      <c r="D28" s="41" t="s">
        <v>5</v>
      </c>
      <c r="E28" s="41" t="s">
        <v>6</v>
      </c>
      <c r="F28" s="41" t="s">
        <v>7</v>
      </c>
      <c r="G28" s="41" t="s">
        <v>171</v>
      </c>
      <c r="H28" s="41" t="s">
        <v>172</v>
      </c>
      <c r="I28" s="41" t="s">
        <v>173</v>
      </c>
      <c r="J28" s="41" t="s">
        <v>174</v>
      </c>
      <c r="K28" s="41" t="s">
        <v>175</v>
      </c>
      <c r="L28" s="41" t="s">
        <v>176</v>
      </c>
      <c r="M28" s="41" t="s">
        <v>177</v>
      </c>
      <c r="N28" s="41" t="s">
        <v>178</v>
      </c>
      <c r="O28" s="41" t="s">
        <v>179</v>
      </c>
      <c r="P28" s="41" t="s">
        <v>180</v>
      </c>
      <c r="Q28" s="41" t="s">
        <v>181</v>
      </c>
      <c r="R28" s="41" t="s">
        <v>182</v>
      </c>
      <c r="S28" s="41" t="s">
        <v>183</v>
      </c>
      <c r="T28" s="41" t="s">
        <v>184</v>
      </c>
      <c r="U28" s="41" t="s">
        <v>185</v>
      </c>
    </row>
    <row r="29" spans="1:21" x14ac:dyDescent="0.3">
      <c r="A29" s="40" t="s">
        <v>1</v>
      </c>
      <c r="B29" s="41" t="s">
        <v>8</v>
      </c>
      <c r="C29" s="41" t="s">
        <v>9</v>
      </c>
      <c r="D29" s="41" t="s">
        <v>10</v>
      </c>
      <c r="E29" s="41" t="s">
        <v>11</v>
      </c>
      <c r="F29" s="41" t="s">
        <v>12</v>
      </c>
      <c r="G29" s="41" t="s">
        <v>186</v>
      </c>
      <c r="H29" s="41" t="s">
        <v>187</v>
      </c>
      <c r="I29" s="41" t="s">
        <v>188</v>
      </c>
      <c r="J29" s="41" t="s">
        <v>189</v>
      </c>
      <c r="K29" s="41" t="s">
        <v>190</v>
      </c>
      <c r="L29" s="41" t="s">
        <v>191</v>
      </c>
      <c r="M29" s="41" t="s">
        <v>192</v>
      </c>
      <c r="N29" s="41" t="s">
        <v>193</v>
      </c>
      <c r="O29" s="41" t="s">
        <v>194</v>
      </c>
      <c r="P29" s="41" t="s">
        <v>195</v>
      </c>
      <c r="Q29" s="41" t="s">
        <v>196</v>
      </c>
      <c r="R29" s="41" t="s">
        <v>197</v>
      </c>
      <c r="S29" s="41" t="s">
        <v>198</v>
      </c>
      <c r="T29" s="41" t="s">
        <v>199</v>
      </c>
      <c r="U29" s="41" t="s">
        <v>200</v>
      </c>
    </row>
    <row r="30" spans="1:21" x14ac:dyDescent="0.3">
      <c r="A30" s="40" t="s">
        <v>2</v>
      </c>
      <c r="B30" s="41" t="s">
        <v>13</v>
      </c>
      <c r="C30" s="41" t="s">
        <v>14</v>
      </c>
      <c r="D30" s="41" t="s">
        <v>15</v>
      </c>
      <c r="E30" s="41" t="s">
        <v>16</v>
      </c>
      <c r="F30" s="41" t="s">
        <v>17</v>
      </c>
      <c r="G30" s="41" t="s">
        <v>15</v>
      </c>
      <c r="H30" s="41" t="s">
        <v>16</v>
      </c>
      <c r="I30" s="41" t="s">
        <v>14</v>
      </c>
      <c r="J30" s="41" t="s">
        <v>17</v>
      </c>
      <c r="K30" s="41" t="s">
        <v>17</v>
      </c>
      <c r="L30" s="41" t="s">
        <v>17</v>
      </c>
      <c r="M30" s="41" t="s">
        <v>15</v>
      </c>
      <c r="N30" s="41" t="s">
        <v>15</v>
      </c>
      <c r="O30" s="41" t="s">
        <v>16</v>
      </c>
      <c r="P30" s="41" t="s">
        <v>17</v>
      </c>
      <c r="Q30" s="41" t="s">
        <v>15</v>
      </c>
      <c r="R30" s="41" t="s">
        <v>16</v>
      </c>
      <c r="S30" s="41" t="s">
        <v>14</v>
      </c>
      <c r="T30" s="41" t="s">
        <v>17</v>
      </c>
      <c r="U30" s="41" t="s">
        <v>15</v>
      </c>
    </row>
    <row r="31" spans="1:21" x14ac:dyDescent="0.3">
      <c r="A31" s="40" t="s">
        <v>201</v>
      </c>
      <c r="B31" s="41">
        <v>45000</v>
      </c>
      <c r="C31" s="41">
        <v>56000</v>
      </c>
      <c r="D31" s="41">
        <v>72000</v>
      </c>
      <c r="E31" s="41">
        <v>34000</v>
      </c>
      <c r="F31" s="41">
        <v>90000</v>
      </c>
      <c r="G31" s="41">
        <v>54000</v>
      </c>
      <c r="H31" s="41">
        <v>56000</v>
      </c>
      <c r="I31" s="41">
        <v>72000</v>
      </c>
      <c r="J31" s="41">
        <v>90000</v>
      </c>
      <c r="K31" s="41">
        <v>54000</v>
      </c>
      <c r="L31" s="41">
        <v>56000</v>
      </c>
      <c r="M31" s="41">
        <v>72000</v>
      </c>
      <c r="N31" s="41">
        <v>34000</v>
      </c>
      <c r="O31" s="41">
        <v>90000</v>
      </c>
      <c r="P31" s="41">
        <v>54000</v>
      </c>
      <c r="Q31" s="41">
        <v>56000</v>
      </c>
      <c r="R31" s="41">
        <v>72000</v>
      </c>
      <c r="S31" s="41">
        <v>56000</v>
      </c>
      <c r="T31" s="41">
        <v>72000</v>
      </c>
      <c r="U31" s="41">
        <v>34000</v>
      </c>
    </row>
    <row r="35" spans="3:7" x14ac:dyDescent="0.3">
      <c r="C35" s="40" t="s">
        <v>0</v>
      </c>
      <c r="D35" s="41" t="s">
        <v>3</v>
      </c>
      <c r="E35" s="41" t="s">
        <v>6</v>
      </c>
      <c r="F35" s="41" t="s">
        <v>175</v>
      </c>
      <c r="G35" s="41" t="s">
        <v>180</v>
      </c>
    </row>
    <row r="36" spans="3:7" x14ac:dyDescent="0.3">
      <c r="C36" s="40" t="s">
        <v>1</v>
      </c>
      <c r="D36" t="str">
        <f>_xlfn.XLOOKUP(D35,B28:U28,B29:U29,"no emp number",0)</f>
        <v>Bhanu K Dhar</v>
      </c>
      <c r="E36" t="str">
        <f t="shared" ref="E36:G36" si="0">_xlfn.XLOOKUP(E35,C28:V28,C29:V29,"no emp number",0)</f>
        <v>Ramesh Devadiga</v>
      </c>
      <c r="F36" t="str">
        <f t="shared" si="0"/>
        <v>Ram Vijay</v>
      </c>
      <c r="G36" t="str">
        <f t="shared" si="0"/>
        <v>Damsan</v>
      </c>
    </row>
    <row r="37" spans="3:7" x14ac:dyDescent="0.3">
      <c r="C37" s="40" t="s">
        <v>2</v>
      </c>
      <c r="D37" t="str">
        <f t="shared" ref="D37:D38" si="1">_xlfn.XLOOKUP(D36,B29:U29,B30:U30,"no emp number",0)</f>
        <v>Bangalore</v>
      </c>
      <c r="E37" t="str">
        <f t="shared" ref="E37:E38" si="2">_xlfn.XLOOKUP(E36,C29:V29,C30:V30,"no emp number",0)</f>
        <v>Cochin</v>
      </c>
      <c r="F37" t="str">
        <f t="shared" ref="F37:F38" si="3">_xlfn.XLOOKUP(F36,D29:W29,D30:W30,"no emp number",0)</f>
        <v>Hyderabad</v>
      </c>
      <c r="G37" t="str">
        <f t="shared" ref="G37:G38" si="4">_xlfn.XLOOKUP(G36,E29:X29,E30:X30,"no emp number",0)</f>
        <v>Hyderabad</v>
      </c>
    </row>
    <row r="38" spans="3:7" x14ac:dyDescent="0.3">
      <c r="C38" s="40" t="s">
        <v>201</v>
      </c>
      <c r="D38">
        <f t="shared" si="1"/>
        <v>45000</v>
      </c>
      <c r="E38">
        <f t="shared" si="2"/>
        <v>34000</v>
      </c>
      <c r="F38">
        <f t="shared" si="3"/>
        <v>90000</v>
      </c>
      <c r="G38">
        <f t="shared" si="4"/>
        <v>90000</v>
      </c>
    </row>
    <row r="41" spans="3:7" x14ac:dyDescent="0.3">
      <c r="C41" s="40" t="s">
        <v>1</v>
      </c>
    </row>
    <row r="42" spans="3:7" x14ac:dyDescent="0.3">
      <c r="C42" s="40" t="s">
        <v>0</v>
      </c>
    </row>
  </sheetData>
  <conditionalFormatting sqref="A4:A24">
    <cfRule type="duplicateValues" dxfId="7" priority="8"/>
  </conditionalFormatting>
  <conditionalFormatting sqref="F6">
    <cfRule type="duplicateValues" dxfId="6" priority="2"/>
  </conditionalFormatting>
  <conditionalFormatting sqref="F7">
    <cfRule type="duplicateValues" dxfId="5" priority="6"/>
  </conditionalFormatting>
  <conditionalFormatting sqref="F8">
    <cfRule type="duplicateValues" dxfId="4" priority="5"/>
  </conditionalFormatting>
  <conditionalFormatting sqref="F9">
    <cfRule type="duplicateValues" dxfId="3" priority="4"/>
  </conditionalFormatting>
  <conditionalFormatting sqref="F10">
    <cfRule type="duplicateValues" dxfId="2" priority="3"/>
  </conditionalFormatting>
  <conditionalFormatting sqref="G13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7DB1-6357-4D82-BBD6-A2AC4B1846C0}">
  <dimension ref="A1:P16"/>
  <sheetViews>
    <sheetView topLeftCell="C6" zoomScale="229" workbookViewId="0">
      <selection activeCell="E17" sqref="E17"/>
    </sheetView>
  </sheetViews>
  <sheetFormatPr defaultRowHeight="14.4" x14ac:dyDescent="0.3"/>
  <cols>
    <col min="1" max="1" width="14.33203125" customWidth="1"/>
    <col min="2" max="2" width="16" bestFit="1" customWidth="1"/>
    <col min="3" max="3" width="10.109375" bestFit="1" customWidth="1"/>
    <col min="5" max="5" width="15.77734375" bestFit="1" customWidth="1"/>
    <col min="6" max="6" width="16" bestFit="1" customWidth="1"/>
    <col min="7" max="7" width="10.5546875" bestFit="1" customWidth="1"/>
    <col min="9" max="9" width="9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</row>
    <row r="2" spans="1:16" x14ac:dyDescent="0.3">
      <c r="A2" t="s">
        <v>3</v>
      </c>
      <c r="B2" t="s">
        <v>8</v>
      </c>
      <c r="C2" t="s">
        <v>13</v>
      </c>
    </row>
    <row r="3" spans="1:16" x14ac:dyDescent="0.3">
      <c r="A3" t="s">
        <v>4</v>
      </c>
      <c r="B3" t="s">
        <v>9</v>
      </c>
      <c r="C3" t="s">
        <v>14</v>
      </c>
    </row>
    <row r="4" spans="1:16" x14ac:dyDescent="0.3">
      <c r="A4" t="s">
        <v>5</v>
      </c>
      <c r="B4" t="s">
        <v>10</v>
      </c>
      <c r="C4" t="s">
        <v>15</v>
      </c>
      <c r="I4" s="33" t="s">
        <v>159</v>
      </c>
      <c r="J4" s="34"/>
      <c r="K4" s="34"/>
      <c r="L4" s="34"/>
      <c r="M4" s="34"/>
      <c r="N4" s="34"/>
    </row>
    <row r="5" spans="1:16" x14ac:dyDescent="0.3">
      <c r="A5" t="s">
        <v>6</v>
      </c>
      <c r="B5" t="s">
        <v>11</v>
      </c>
      <c r="C5" t="s">
        <v>16</v>
      </c>
      <c r="E5" s="1" t="s">
        <v>0</v>
      </c>
      <c r="F5" s="1" t="s">
        <v>1</v>
      </c>
      <c r="G5" s="1" t="s">
        <v>2</v>
      </c>
      <c r="I5" s="37"/>
    </row>
    <row r="6" spans="1:16" ht="15" x14ac:dyDescent="0.3">
      <c r="A6" t="s">
        <v>7</v>
      </c>
      <c r="B6" t="s">
        <v>12</v>
      </c>
      <c r="C6" t="s">
        <v>17</v>
      </c>
      <c r="E6" t="s">
        <v>109</v>
      </c>
      <c r="F6" t="str">
        <f>IFERROR(INDEX(B2:B6,MATCH(E6,A2:A6,0)),"no emp number")</f>
        <v>no emp number</v>
      </c>
      <c r="G6" t="str">
        <f>IFERROR(INDEX(C2:C6,MATCH(E6,A2:A6,0)),"no emp number")</f>
        <v>no emp number</v>
      </c>
      <c r="I6" s="36" t="s">
        <v>160</v>
      </c>
      <c r="J6" s="34"/>
      <c r="K6" s="34"/>
      <c r="L6" s="34"/>
      <c r="M6" s="34"/>
      <c r="N6" s="34"/>
    </row>
    <row r="7" spans="1:16" x14ac:dyDescent="0.3">
      <c r="E7" t="s">
        <v>5</v>
      </c>
      <c r="F7" t="str">
        <f t="shared" ref="F7:F9" si="0">IFERROR(INDEX(B3:B7,MATCH(E7,A3:A7,0)),"no emp number")</f>
        <v>Mohammed</v>
      </c>
      <c r="G7" t="str">
        <f t="shared" ref="G7:G9" si="1">IFERROR(INDEX(C3:C7,MATCH(E7,A3:A7,0)),"no emp number")</f>
        <v>Delhi</v>
      </c>
      <c r="I7" s="37"/>
    </row>
    <row r="8" spans="1:16" ht="15" x14ac:dyDescent="0.3">
      <c r="E8" t="s">
        <v>6</v>
      </c>
      <c r="F8" t="str">
        <f t="shared" si="0"/>
        <v>Ramesh Devadiga</v>
      </c>
      <c r="G8" t="str">
        <f t="shared" si="1"/>
        <v>Cochin</v>
      </c>
      <c r="I8" s="36" t="s">
        <v>161</v>
      </c>
      <c r="J8" s="34"/>
      <c r="K8" s="34"/>
      <c r="L8" s="34"/>
      <c r="M8" s="34"/>
    </row>
    <row r="9" spans="1:16" x14ac:dyDescent="0.3">
      <c r="E9" t="s">
        <v>7</v>
      </c>
      <c r="F9" t="str">
        <f t="shared" si="0"/>
        <v>James PP</v>
      </c>
      <c r="G9" t="str">
        <f t="shared" si="1"/>
        <v>Hyderabad</v>
      </c>
      <c r="I9" s="37"/>
    </row>
    <row r="10" spans="1:16" x14ac:dyDescent="0.3">
      <c r="I10" s="35" t="s">
        <v>162</v>
      </c>
      <c r="J10" s="34"/>
      <c r="K10" s="34"/>
      <c r="L10" s="34"/>
      <c r="M10" s="34"/>
      <c r="N10" s="34"/>
      <c r="O10" s="34"/>
      <c r="P10" s="34"/>
    </row>
    <row r="11" spans="1:16" x14ac:dyDescent="0.3">
      <c r="E11" s="1" t="s">
        <v>1</v>
      </c>
      <c r="F11" s="1" t="s">
        <v>0</v>
      </c>
    </row>
    <row r="12" spans="1:16" x14ac:dyDescent="0.3">
      <c r="E12" t="s">
        <v>8</v>
      </c>
      <c r="F12" t="str">
        <f>IFERROR(INDEX(A2:A6,MATCH(E12,B2:B6,0)),"no employee number ")</f>
        <v>MTC-0001</v>
      </c>
    </row>
    <row r="13" spans="1:16" x14ac:dyDescent="0.3">
      <c r="E13" t="s">
        <v>9</v>
      </c>
      <c r="F13" t="str">
        <f>IFERROR(INDEX(A3:A7,MATCH(E13,B3:B7,0)),"no employee number ")</f>
        <v>MTC-0066</v>
      </c>
    </row>
    <row r="14" spans="1:16" x14ac:dyDescent="0.3">
      <c r="E14" t="s">
        <v>10</v>
      </c>
      <c r="F14" t="str">
        <f t="shared" ref="F14:F16" si="2">IFERROR(INDEX(A4:A8,MATCH(E14,B4:B8,0)),"no employee number ")</f>
        <v>MTC-0094</v>
      </c>
    </row>
    <row r="15" spans="1:16" x14ac:dyDescent="0.3">
      <c r="E15" t="s">
        <v>11</v>
      </c>
      <c r="F15" t="str">
        <f t="shared" si="2"/>
        <v>MTC-0103</v>
      </c>
    </row>
    <row r="16" spans="1:16" x14ac:dyDescent="0.3">
      <c r="E16" t="s">
        <v>12</v>
      </c>
      <c r="F16" t="str">
        <f t="shared" si="2"/>
        <v>MTC-0113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289A-FB30-4BF8-89AF-F4BAD603A7C9}">
  <dimension ref="A1:P79"/>
  <sheetViews>
    <sheetView zoomScale="109" workbookViewId="0">
      <selection activeCell="E19" sqref="E19"/>
    </sheetView>
  </sheetViews>
  <sheetFormatPr defaultRowHeight="14.4" x14ac:dyDescent="0.3"/>
  <cols>
    <col min="1" max="1" width="13.44140625" customWidth="1"/>
    <col min="2" max="2" width="13" customWidth="1"/>
    <col min="3" max="3" width="15.5546875" bestFit="1" customWidth="1"/>
    <col min="4" max="5" width="11.21875" bestFit="1" customWidth="1"/>
    <col min="6" max="6" width="9.6640625" bestFit="1" customWidth="1"/>
    <col min="9" max="9" width="9.5546875" bestFit="1" customWidth="1"/>
    <col min="10" max="10" width="11.77734375" bestFit="1" customWidth="1"/>
    <col min="11" max="11" width="12.21875" bestFit="1" customWidth="1"/>
    <col min="12" max="12" width="9.88671875" bestFit="1" customWidth="1"/>
    <col min="15" max="15" width="9.88671875" bestFit="1" customWidth="1"/>
  </cols>
  <sheetData>
    <row r="1" spans="1:16" x14ac:dyDescent="0.3">
      <c r="A1" s="2" t="s">
        <v>21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16" x14ac:dyDescent="0.3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>
        <v>55000</v>
      </c>
      <c r="H2" s="22" t="s">
        <v>110</v>
      </c>
      <c r="I2" s="22" t="s">
        <v>112</v>
      </c>
    </row>
    <row r="3" spans="1:16" ht="19.2" customHeight="1" x14ac:dyDescent="0.3">
      <c r="A3" s="3" t="s">
        <v>31</v>
      </c>
      <c r="B3" s="3" t="s">
        <v>32</v>
      </c>
      <c r="C3" s="3" t="s">
        <v>25</v>
      </c>
      <c r="D3" s="3" t="s">
        <v>33</v>
      </c>
      <c r="E3" s="3" t="s">
        <v>30</v>
      </c>
      <c r="F3" s="3">
        <v>62000</v>
      </c>
      <c r="H3" s="22" t="s">
        <v>111</v>
      </c>
      <c r="I3" s="22" t="s">
        <v>113</v>
      </c>
    </row>
    <row r="4" spans="1:16" x14ac:dyDescent="0.3">
      <c r="A4" s="3" t="s">
        <v>34</v>
      </c>
      <c r="B4" s="3" t="s">
        <v>35</v>
      </c>
      <c r="C4" s="3" t="s">
        <v>36</v>
      </c>
      <c r="D4" s="3" t="s">
        <v>37</v>
      </c>
      <c r="E4" s="3" t="s">
        <v>30</v>
      </c>
      <c r="F4" s="3">
        <v>48000</v>
      </c>
    </row>
    <row r="5" spans="1:16" ht="28.8" x14ac:dyDescent="0.3">
      <c r="A5" s="3" t="s">
        <v>38</v>
      </c>
      <c r="B5" s="3" t="s">
        <v>39</v>
      </c>
      <c r="C5" s="3" t="s">
        <v>28</v>
      </c>
      <c r="D5" s="3" t="s">
        <v>40</v>
      </c>
      <c r="E5" s="3" t="s">
        <v>30</v>
      </c>
      <c r="F5" s="3">
        <v>53000</v>
      </c>
      <c r="K5" t="str" cm="1">
        <f t="array" ref="K5:P15">_xlfn._xlws.SORT(Table1[#All],6,-1)</f>
        <v>Employee ID</v>
      </c>
      <c r="L5" t="str">
        <v>Name</v>
      </c>
      <c r="M5" t="str">
        <v>Department</v>
      </c>
      <c r="N5" t="str">
        <v>Region</v>
      </c>
      <c r="O5" t="str">
        <v>Month</v>
      </c>
      <c r="P5" t="str">
        <v>Sales</v>
      </c>
    </row>
    <row r="6" spans="1:16" x14ac:dyDescent="0.3">
      <c r="A6" s="3" t="s">
        <v>41</v>
      </c>
      <c r="B6" s="3" t="s">
        <v>42</v>
      </c>
      <c r="C6" s="3" t="s">
        <v>25</v>
      </c>
      <c r="D6" s="3" t="s">
        <v>29</v>
      </c>
      <c r="E6" s="3" t="s">
        <v>30</v>
      </c>
      <c r="F6" s="3">
        <v>67000</v>
      </c>
      <c r="K6" t="str">
        <v>E006</v>
      </c>
      <c r="L6" t="str">
        <v>Rohan Gupta</v>
      </c>
      <c r="M6" t="str">
        <v>IT</v>
      </c>
      <c r="N6" t="str">
        <v>East</v>
      </c>
      <c r="O6" t="str">
        <v>Jan</v>
      </c>
      <c r="P6">
        <v>72000</v>
      </c>
    </row>
    <row r="7" spans="1:16" ht="28.8" x14ac:dyDescent="0.3">
      <c r="A7" s="3" t="s">
        <v>43</v>
      </c>
      <c r="B7" s="3" t="s">
        <v>44</v>
      </c>
      <c r="C7" s="3" t="s">
        <v>45</v>
      </c>
      <c r="D7" s="3" t="s">
        <v>37</v>
      </c>
      <c r="E7" s="3" t="s">
        <v>30</v>
      </c>
      <c r="F7" s="3">
        <v>72000</v>
      </c>
      <c r="K7" t="str">
        <v>E009</v>
      </c>
      <c r="L7" t="str">
        <v>Sneha Iyer</v>
      </c>
      <c r="M7" t="str">
        <v>Sales</v>
      </c>
      <c r="N7" t="str">
        <v>West</v>
      </c>
      <c r="O7" t="str">
        <v>Jan</v>
      </c>
      <c r="P7">
        <v>71000</v>
      </c>
    </row>
    <row r="8" spans="1:16" ht="28.8" x14ac:dyDescent="0.3">
      <c r="A8" s="3" t="s">
        <v>46</v>
      </c>
      <c r="B8" s="3" t="s">
        <v>47</v>
      </c>
      <c r="C8" s="3" t="s">
        <v>36</v>
      </c>
      <c r="D8" s="3" t="s">
        <v>33</v>
      </c>
      <c r="E8" s="3" t="s">
        <v>30</v>
      </c>
      <c r="F8" s="3">
        <v>46000</v>
      </c>
      <c r="K8" t="str">
        <v>E008</v>
      </c>
      <c r="L8" t="str">
        <v>Aditya Singh</v>
      </c>
      <c r="M8" t="str">
        <v>IT</v>
      </c>
      <c r="N8" t="str">
        <v>North</v>
      </c>
      <c r="O8" t="str">
        <v>Jan</v>
      </c>
      <c r="P8">
        <v>69000</v>
      </c>
    </row>
    <row r="9" spans="1:16" ht="28.8" x14ac:dyDescent="0.3">
      <c r="A9" s="3" t="s">
        <v>48</v>
      </c>
      <c r="B9" s="3" t="s">
        <v>49</v>
      </c>
      <c r="C9" s="3" t="s">
        <v>45</v>
      </c>
      <c r="D9" s="3" t="s">
        <v>29</v>
      </c>
      <c r="E9" s="3" t="s">
        <v>30</v>
      </c>
      <c r="F9" s="3">
        <v>69000</v>
      </c>
      <c r="K9" t="str">
        <v>E005</v>
      </c>
      <c r="L9" t="str">
        <v>Neha Sharma</v>
      </c>
      <c r="M9" t="str">
        <v>Sales</v>
      </c>
      <c r="N9" t="str">
        <v>North</v>
      </c>
      <c r="O9" t="str">
        <v>Jan</v>
      </c>
      <c r="P9">
        <v>67000</v>
      </c>
    </row>
    <row r="10" spans="1:16" ht="28.8" x14ac:dyDescent="0.3">
      <c r="A10" s="3" t="s">
        <v>50</v>
      </c>
      <c r="B10" s="3" t="s">
        <v>51</v>
      </c>
      <c r="C10" s="3" t="s">
        <v>25</v>
      </c>
      <c r="D10" s="3" t="s">
        <v>40</v>
      </c>
      <c r="E10" s="3" t="s">
        <v>30</v>
      </c>
      <c r="F10" s="3">
        <v>71000</v>
      </c>
      <c r="K10" t="str">
        <v>E002</v>
      </c>
      <c r="L10" t="str">
        <v>Karan Mehta</v>
      </c>
      <c r="M10" t="str">
        <v>Sales</v>
      </c>
      <c r="N10" t="str">
        <v>South</v>
      </c>
      <c r="O10" t="str">
        <v>Jan</v>
      </c>
      <c r="P10">
        <v>62000</v>
      </c>
    </row>
    <row r="11" spans="1:16" ht="28.8" x14ac:dyDescent="0.3">
      <c r="A11" s="3" t="s">
        <v>52</v>
      </c>
      <c r="B11" s="3" t="s">
        <v>53</v>
      </c>
      <c r="C11" s="3" t="s">
        <v>28</v>
      </c>
      <c r="D11" s="3" t="s">
        <v>37</v>
      </c>
      <c r="E11" s="3" t="s">
        <v>30</v>
      </c>
      <c r="F11" s="3">
        <v>58000</v>
      </c>
      <c r="K11" t="str">
        <v>E010</v>
      </c>
      <c r="L11" t="str">
        <v>Varun Khanna</v>
      </c>
      <c r="M11" t="str">
        <v>Marketing</v>
      </c>
      <c r="N11" t="str">
        <v>East</v>
      </c>
      <c r="O11" t="str">
        <v>Jan</v>
      </c>
      <c r="P11">
        <v>58000</v>
      </c>
    </row>
    <row r="12" spans="1:16" x14ac:dyDescent="0.3">
      <c r="K12" t="str">
        <v>E001</v>
      </c>
      <c r="L12" t="str">
        <v>Ananya Rao</v>
      </c>
      <c r="M12" t="str">
        <v>Marketing</v>
      </c>
      <c r="N12" t="str">
        <v>North</v>
      </c>
      <c r="O12" t="str">
        <v>Jan</v>
      </c>
      <c r="P12">
        <v>55000</v>
      </c>
    </row>
    <row r="13" spans="1:16" x14ac:dyDescent="0.3">
      <c r="K13" t="str">
        <v>E004</v>
      </c>
      <c r="L13" t="str">
        <v>Arjun Nair</v>
      </c>
      <c r="M13" t="str">
        <v>Marketing</v>
      </c>
      <c r="N13" t="str">
        <v>West</v>
      </c>
      <c r="O13" t="str">
        <v>Jan</v>
      </c>
      <c r="P13">
        <v>53000</v>
      </c>
    </row>
    <row r="14" spans="1:16" x14ac:dyDescent="0.3">
      <c r="K14" t="str">
        <v>E003</v>
      </c>
      <c r="L14" t="str">
        <v>Priya Das</v>
      </c>
      <c r="M14" t="str">
        <v>HR</v>
      </c>
      <c r="N14" t="str">
        <v>East</v>
      </c>
      <c r="O14" t="str">
        <v>Jan</v>
      </c>
      <c r="P14">
        <v>48000</v>
      </c>
    </row>
    <row r="15" spans="1:16" x14ac:dyDescent="0.3">
      <c r="K15" t="str">
        <v>E007</v>
      </c>
      <c r="L15" t="str">
        <v>Meera Patel</v>
      </c>
      <c r="M15" t="str">
        <v>HR</v>
      </c>
      <c r="N15" t="str">
        <v>South</v>
      </c>
      <c r="O15" t="str">
        <v>Jan</v>
      </c>
      <c r="P15">
        <v>46000</v>
      </c>
    </row>
    <row r="28" spans="6:11" x14ac:dyDescent="0.3">
      <c r="F28" t="str" cm="1">
        <f t="array" ref="F28:K37">_xlfn._xlws.SORT(Table1[],6)</f>
        <v>E007</v>
      </c>
      <c r="G28" t="str">
        <v>Meera Patel</v>
      </c>
      <c r="H28" t="str">
        <v>HR</v>
      </c>
      <c r="I28" t="str">
        <v>South</v>
      </c>
      <c r="J28" t="str">
        <v>Jan</v>
      </c>
      <c r="K28">
        <v>46000</v>
      </c>
    </row>
    <row r="29" spans="6:11" x14ac:dyDescent="0.3">
      <c r="F29" t="str">
        <v>E003</v>
      </c>
      <c r="G29" t="str">
        <v>Priya Das</v>
      </c>
      <c r="H29" t="str">
        <v>HR</v>
      </c>
      <c r="I29" t="str">
        <v>East</v>
      </c>
      <c r="J29" t="str">
        <v>Jan</v>
      </c>
      <c r="K29">
        <v>48000</v>
      </c>
    </row>
    <row r="30" spans="6:11" x14ac:dyDescent="0.3">
      <c r="F30" t="str">
        <v>E004</v>
      </c>
      <c r="G30" t="str">
        <v>Arjun Nair</v>
      </c>
      <c r="H30" t="str">
        <v>Marketing</v>
      </c>
      <c r="I30" t="str">
        <v>West</v>
      </c>
      <c r="J30" t="str">
        <v>Jan</v>
      </c>
      <c r="K30">
        <v>53000</v>
      </c>
    </row>
    <row r="31" spans="6:11" x14ac:dyDescent="0.3">
      <c r="F31" t="str">
        <v>E001</v>
      </c>
      <c r="G31" t="str">
        <v>Ananya Rao</v>
      </c>
      <c r="H31" t="str">
        <v>Marketing</v>
      </c>
      <c r="I31" t="str">
        <v>North</v>
      </c>
      <c r="J31" t="str">
        <v>Jan</v>
      </c>
      <c r="K31">
        <v>55000</v>
      </c>
    </row>
    <row r="32" spans="6:11" x14ac:dyDescent="0.3">
      <c r="F32" t="str">
        <v>E010</v>
      </c>
      <c r="G32" t="str">
        <v>Varun Khanna</v>
      </c>
      <c r="H32" t="str">
        <v>Marketing</v>
      </c>
      <c r="I32" t="str">
        <v>East</v>
      </c>
      <c r="J32" t="str">
        <v>Jan</v>
      </c>
      <c r="K32">
        <v>58000</v>
      </c>
    </row>
    <row r="33" spans="6:11" x14ac:dyDescent="0.3">
      <c r="F33" t="str">
        <v>E002</v>
      </c>
      <c r="G33" t="str">
        <v>Karan Mehta</v>
      </c>
      <c r="H33" t="str">
        <v>Sales</v>
      </c>
      <c r="I33" t="str">
        <v>South</v>
      </c>
      <c r="J33" t="str">
        <v>Jan</v>
      </c>
      <c r="K33">
        <v>62000</v>
      </c>
    </row>
    <row r="34" spans="6:11" x14ac:dyDescent="0.3">
      <c r="F34" t="str">
        <v>E005</v>
      </c>
      <c r="G34" t="str">
        <v>Neha Sharma</v>
      </c>
      <c r="H34" t="str">
        <v>Sales</v>
      </c>
      <c r="I34" t="str">
        <v>North</v>
      </c>
      <c r="J34" t="str">
        <v>Jan</v>
      </c>
      <c r="K34">
        <v>67000</v>
      </c>
    </row>
    <row r="35" spans="6:11" x14ac:dyDescent="0.3">
      <c r="F35" t="str">
        <v>E008</v>
      </c>
      <c r="G35" t="str">
        <v>Aditya Singh</v>
      </c>
      <c r="H35" t="str">
        <v>IT</v>
      </c>
      <c r="I35" t="str">
        <v>North</v>
      </c>
      <c r="J35" t="str">
        <v>Jan</v>
      </c>
      <c r="K35">
        <v>69000</v>
      </c>
    </row>
    <row r="36" spans="6:11" x14ac:dyDescent="0.3">
      <c r="F36" t="str">
        <v>E009</v>
      </c>
      <c r="G36" t="str">
        <v>Sneha Iyer</v>
      </c>
      <c r="H36" t="str">
        <v>Sales</v>
      </c>
      <c r="I36" t="str">
        <v>West</v>
      </c>
      <c r="J36" t="str">
        <v>Jan</v>
      </c>
      <c r="K36">
        <v>71000</v>
      </c>
    </row>
    <row r="37" spans="6:11" x14ac:dyDescent="0.3">
      <c r="F37" t="str">
        <v>E006</v>
      </c>
      <c r="G37" t="str">
        <v>Rohan Gupta</v>
      </c>
      <c r="H37" t="str">
        <v>IT</v>
      </c>
      <c r="I37" t="str">
        <v>East</v>
      </c>
      <c r="J37" t="str">
        <v>Jan</v>
      </c>
      <c r="K37">
        <v>72000</v>
      </c>
    </row>
    <row r="59" spans="12:15" x14ac:dyDescent="0.3">
      <c r="O59" s="5"/>
    </row>
    <row r="60" spans="12:15" x14ac:dyDescent="0.3">
      <c r="O60" s="5"/>
    </row>
    <row r="61" spans="12:15" x14ac:dyDescent="0.3">
      <c r="L61" s="4"/>
      <c r="O61" s="5"/>
    </row>
    <row r="62" spans="12:15" x14ac:dyDescent="0.3">
      <c r="O62" s="5"/>
    </row>
    <row r="63" spans="12:15" x14ac:dyDescent="0.3">
      <c r="L63" s="5"/>
      <c r="O63" s="5"/>
    </row>
    <row r="64" spans="12:15" x14ac:dyDescent="0.3">
      <c r="L64" s="5"/>
      <c r="O64" s="5"/>
    </row>
    <row r="65" spans="2:15" x14ac:dyDescent="0.3">
      <c r="L65" s="5"/>
      <c r="O65" s="5"/>
    </row>
    <row r="66" spans="2:15" x14ac:dyDescent="0.3">
      <c r="L66" s="5"/>
      <c r="O66" s="5"/>
    </row>
    <row r="67" spans="2:15" x14ac:dyDescent="0.3">
      <c r="L67" s="5"/>
      <c r="O67" s="5"/>
    </row>
    <row r="68" spans="2:15" x14ac:dyDescent="0.3">
      <c r="L68" s="5"/>
      <c r="O68" s="5"/>
    </row>
    <row r="69" spans="2:15" x14ac:dyDescent="0.3">
      <c r="L69" s="5"/>
      <c r="O69" s="5"/>
    </row>
    <row r="70" spans="2:15" x14ac:dyDescent="0.3">
      <c r="B70" s="6" t="s">
        <v>27</v>
      </c>
      <c r="L70" s="5"/>
      <c r="O70" s="5"/>
    </row>
    <row r="71" spans="2:15" x14ac:dyDescent="0.3">
      <c r="B71" s="7" t="s">
        <v>32</v>
      </c>
      <c r="L71" s="5"/>
    </row>
    <row r="72" spans="2:15" x14ac:dyDescent="0.3">
      <c r="B72" s="6" t="s">
        <v>35</v>
      </c>
      <c r="L72" s="5"/>
    </row>
    <row r="73" spans="2:15" x14ac:dyDescent="0.3">
      <c r="B73" s="7" t="s">
        <v>39</v>
      </c>
    </row>
    <row r="74" spans="2:15" x14ac:dyDescent="0.3">
      <c r="B74" s="6" t="s">
        <v>42</v>
      </c>
    </row>
    <row r="75" spans="2:15" x14ac:dyDescent="0.3">
      <c r="B75" s="7" t="s">
        <v>44</v>
      </c>
    </row>
    <row r="76" spans="2:15" x14ac:dyDescent="0.3">
      <c r="B76" s="6" t="s">
        <v>47</v>
      </c>
    </row>
    <row r="77" spans="2:15" x14ac:dyDescent="0.3">
      <c r="B77" s="7" t="s">
        <v>49</v>
      </c>
    </row>
    <row r="78" spans="2:15" x14ac:dyDescent="0.3">
      <c r="B78" s="6" t="s">
        <v>51</v>
      </c>
    </row>
    <row r="79" spans="2:15" x14ac:dyDescent="0.3">
      <c r="B79" s="8" t="s">
        <v>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7629-F209-4615-8AE4-0F56524A92B1}">
  <dimension ref="F2:Q15"/>
  <sheetViews>
    <sheetView topLeftCell="D1" zoomScale="147" workbookViewId="0">
      <selection activeCell="G7" sqref="G7:L12"/>
    </sheetView>
  </sheetViews>
  <sheetFormatPr defaultRowHeight="14.4" x14ac:dyDescent="0.3"/>
  <cols>
    <col min="6" max="6" width="16.21875" bestFit="1" customWidth="1"/>
    <col min="7" max="7" width="12.109375" bestFit="1" customWidth="1"/>
    <col min="8" max="8" width="9.5546875" bestFit="1" customWidth="1"/>
    <col min="10" max="10" width="11.6640625" customWidth="1"/>
  </cols>
  <sheetData>
    <row r="2" spans="6:17" x14ac:dyDescent="0.3">
      <c r="F2" s="13" t="s">
        <v>71</v>
      </c>
      <c r="I2" s="11" t="s">
        <v>72</v>
      </c>
      <c r="J2" s="12"/>
      <c r="K2" s="12"/>
      <c r="L2" s="12"/>
      <c r="M2" s="12"/>
      <c r="N2" s="12"/>
      <c r="O2" s="12"/>
      <c r="P2" s="12"/>
      <c r="Q2" s="12"/>
    </row>
    <row r="6" spans="6:17" x14ac:dyDescent="0.3">
      <c r="F6" s="47" t="s">
        <v>60</v>
      </c>
      <c r="G6" s="47" t="s">
        <v>61</v>
      </c>
      <c r="H6" s="47" t="s">
        <v>62</v>
      </c>
      <c r="I6" s="47" t="s">
        <v>63</v>
      </c>
      <c r="J6" s="47" t="s">
        <v>64</v>
      </c>
      <c r="K6" s="47" t="s">
        <v>65</v>
      </c>
      <c r="N6" s="10" t="s">
        <v>66</v>
      </c>
    </row>
    <row r="7" spans="6:17" x14ac:dyDescent="0.3">
      <c r="F7" s="46"/>
      <c r="N7" t="s">
        <v>67</v>
      </c>
    </row>
    <row r="8" spans="6:17" x14ac:dyDescent="0.3">
      <c r="F8" s="44"/>
      <c r="N8" t="s">
        <v>68</v>
      </c>
    </row>
    <row r="9" spans="6:17" x14ac:dyDescent="0.3">
      <c r="F9" s="44"/>
      <c r="N9" t="s">
        <v>69</v>
      </c>
    </row>
    <row r="10" spans="6:17" x14ac:dyDescent="0.3">
      <c r="F10" s="44"/>
      <c r="N10" t="s">
        <v>70</v>
      </c>
    </row>
    <row r="11" spans="6:17" x14ac:dyDescent="0.3">
      <c r="F11" s="44"/>
      <c r="N11" t="s">
        <v>204</v>
      </c>
    </row>
    <row r="12" spans="6:17" x14ac:dyDescent="0.3">
      <c r="F12" s="45"/>
    </row>
    <row r="13" spans="6:17" x14ac:dyDescent="0.3">
      <c r="F13" s="44"/>
    </row>
    <row r="14" spans="6:17" x14ac:dyDescent="0.3">
      <c r="F14" s="44"/>
    </row>
    <row r="15" spans="6:17" x14ac:dyDescent="0.3">
      <c r="F15" s="44"/>
    </row>
  </sheetData>
  <dataValidations count="10">
    <dataValidation type="date" allowBlank="1" showInputMessage="1" showErrorMessage="1" sqref="H35:H39" xr:uid="{228D135A-0150-45A6-B718-F089B83A8133}">
      <formula1>45662</formula1>
      <formula2>45669</formula2>
    </dataValidation>
    <dataValidation type="time" allowBlank="1" showInputMessage="1" showErrorMessage="1" sqref="I35:I39" xr:uid="{843C5065-07D8-4A55-9F19-5E51478F17F7}">
      <formula1>0.333333333333333</formula1>
      <formula2>0.833333333333333</formula2>
    </dataValidation>
    <dataValidation type="list" allowBlank="1" showInputMessage="1" showErrorMessage="1" sqref="J35:J39" xr:uid="{5899DF6A-C70C-4BB4-A28E-00764DA25552}">
      <formula1>"Chair,Table,Pen,Bed,Bottle"</formula1>
    </dataValidation>
    <dataValidation type="whole" allowBlank="1" showInputMessage="1" showErrorMessage="1" errorTitle="valid error " error="must enter a number between 4 &amp;10" promptTitle="input command" prompt="please enter a number between 4 and 10" sqref="F35:F39" xr:uid="{03569128-D74F-4F2A-B381-2DEA88EE97EE}">
      <formula1>4</formula1>
      <formula2>10</formula2>
    </dataValidation>
    <dataValidation type="textLength" allowBlank="1" showInputMessage="1" showErrorMessage="1" errorTitle="Valid Error" error="must enter a charactors between 3 to 7" promptTitle="input command" prompt="please enter  text  charactors  between 3 &amp;7" sqref="G35:G39" xr:uid="{044D7AE0-CF00-4A8C-9FEF-5D9436B31D9A}">
      <formula1>3</formula1>
      <formula2>7</formula2>
    </dataValidation>
    <dataValidation type="list" allowBlank="1" showInputMessage="1" showErrorMessage="1" sqref="K35:K39 K7:K15" xr:uid="{A76A55FE-E65B-404F-90EB-3E5C533D36D0}">
      <formula1>$N$7:$N$11</formula1>
    </dataValidation>
    <dataValidation type="whole" allowBlank="1" showInputMessage="1" showErrorMessage="1" sqref="F7:F15" xr:uid="{C1EC4415-A2A2-4D67-AACA-17A159527866}">
      <formula1>4</formula1>
      <formula2>7</formula2>
    </dataValidation>
    <dataValidation type="textLength" allowBlank="1" showInputMessage="1" showErrorMessage="1" sqref="G7:G15" xr:uid="{A3D102E7-3E8A-4038-B202-43ABC0B276C3}">
      <formula1>3</formula1>
      <formula2>6</formula2>
    </dataValidation>
    <dataValidation type="time" allowBlank="1" showInputMessage="1" showErrorMessage="1" sqref="I7:I15" xr:uid="{640FC21B-E14B-45CE-95C7-DF26FB807322}">
      <formula1>0</formula1>
      <formula2>0.5</formula2>
    </dataValidation>
    <dataValidation type="list" allowBlank="1" showInputMessage="1" showErrorMessage="1" sqref="J7:J15" xr:uid="{943D538F-B392-4CCC-B869-B123BFBCC045}">
      <formula1>"Electronics,Furniture,Accessories,Clothing"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6E4C-C921-4E0E-A4B1-ABE15CC7A4BE}">
  <dimension ref="D2:R18"/>
  <sheetViews>
    <sheetView zoomScale="133" zoomScaleNormal="140" workbookViewId="0">
      <selection activeCell="D11" sqref="D11"/>
    </sheetView>
  </sheetViews>
  <sheetFormatPr defaultRowHeight="14.4" x14ac:dyDescent="0.3"/>
  <cols>
    <col min="5" max="5" width="9.6640625" bestFit="1" customWidth="1"/>
    <col min="7" max="7" width="15.33203125" customWidth="1"/>
    <col min="8" max="8" width="9.6640625" bestFit="1" customWidth="1"/>
  </cols>
  <sheetData>
    <row r="2" spans="4:18" x14ac:dyDescent="0.3">
      <c r="D2" s="33" t="s">
        <v>163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4:18" x14ac:dyDescent="0.3">
      <c r="D3" s="38"/>
    </row>
    <row r="4" spans="4:18" x14ac:dyDescent="0.3">
      <c r="D4" s="35" t="s">
        <v>164</v>
      </c>
      <c r="E4" s="34"/>
      <c r="F4" s="34"/>
      <c r="G4" s="34"/>
      <c r="H4" s="34"/>
      <c r="I4" s="34"/>
      <c r="J4" s="34"/>
    </row>
    <row r="5" spans="4:18" x14ac:dyDescent="0.3">
      <c r="D5" s="38"/>
    </row>
    <row r="6" spans="4:18" x14ac:dyDescent="0.3">
      <c r="D6" s="35" t="s">
        <v>165</v>
      </c>
      <c r="E6" s="34"/>
      <c r="F6" s="34"/>
      <c r="G6" s="34"/>
      <c r="H6" s="34"/>
      <c r="I6" s="34"/>
    </row>
    <row r="8" spans="4:18" x14ac:dyDescent="0.3">
      <c r="E8" s="14" t="s">
        <v>55</v>
      </c>
      <c r="F8" s="14" t="s">
        <v>56</v>
      </c>
      <c r="G8" s="14" t="s">
        <v>73</v>
      </c>
      <c r="H8" s="14" t="s">
        <v>55</v>
      </c>
      <c r="I8" s="14" t="s">
        <v>86</v>
      </c>
    </row>
    <row r="9" spans="4:18" x14ac:dyDescent="0.3">
      <c r="E9" s="48">
        <v>10</v>
      </c>
      <c r="F9" s="48" t="s">
        <v>59</v>
      </c>
      <c r="G9" s="49">
        <v>46167</v>
      </c>
      <c r="H9" s="48">
        <v>10</v>
      </c>
      <c r="I9">
        <v>20000</v>
      </c>
    </row>
    <row r="10" spans="4:18" x14ac:dyDescent="0.3">
      <c r="E10" s="48">
        <v>20</v>
      </c>
      <c r="F10" s="48" t="s">
        <v>57</v>
      </c>
      <c r="G10" s="49">
        <v>45701</v>
      </c>
      <c r="H10" s="48">
        <v>11</v>
      </c>
      <c r="I10">
        <v>67000</v>
      </c>
    </row>
    <row r="11" spans="4:18" x14ac:dyDescent="0.3">
      <c r="E11" s="48">
        <v>60</v>
      </c>
      <c r="F11" s="48" t="s">
        <v>57</v>
      </c>
      <c r="G11" s="49">
        <v>45943</v>
      </c>
      <c r="H11" s="48">
        <v>12</v>
      </c>
      <c r="I11">
        <v>56000</v>
      </c>
    </row>
    <row r="12" spans="4:18" x14ac:dyDescent="0.3">
      <c r="E12" s="48">
        <v>10</v>
      </c>
      <c r="F12" s="48" t="s">
        <v>58</v>
      </c>
      <c r="G12" s="49">
        <v>45974</v>
      </c>
      <c r="H12" s="48">
        <v>13</v>
      </c>
      <c r="I12">
        <v>34000</v>
      </c>
    </row>
    <row r="13" spans="4:18" x14ac:dyDescent="0.3">
      <c r="E13" s="48">
        <v>50</v>
      </c>
      <c r="F13" s="48" t="s">
        <v>58</v>
      </c>
      <c r="G13" s="49">
        <v>45790</v>
      </c>
      <c r="H13" s="48">
        <v>14</v>
      </c>
      <c r="I13">
        <v>52000</v>
      </c>
    </row>
    <row r="14" spans="4:18" x14ac:dyDescent="0.3">
      <c r="E14" s="48">
        <v>60</v>
      </c>
      <c r="F14" s="48" t="s">
        <v>58</v>
      </c>
      <c r="G14" s="49">
        <v>45821</v>
      </c>
      <c r="H14" s="48">
        <v>15</v>
      </c>
      <c r="I14">
        <v>12000</v>
      </c>
    </row>
    <row r="15" spans="4:18" x14ac:dyDescent="0.3">
      <c r="E15" s="48">
        <v>80</v>
      </c>
      <c r="F15" s="48" t="s">
        <v>57</v>
      </c>
      <c r="G15" s="49">
        <v>45851</v>
      </c>
      <c r="H15" s="48">
        <v>16</v>
      </c>
      <c r="I15">
        <v>19000</v>
      </c>
    </row>
    <row r="16" spans="4:18" x14ac:dyDescent="0.3">
      <c r="E16" s="48">
        <v>50</v>
      </c>
      <c r="F16" s="48" t="s">
        <v>59</v>
      </c>
      <c r="G16" s="49">
        <v>45945</v>
      </c>
      <c r="H16" s="48">
        <v>17</v>
      </c>
      <c r="I16">
        <v>45000</v>
      </c>
    </row>
    <row r="17" spans="5:9" x14ac:dyDescent="0.3">
      <c r="E17" s="48">
        <v>90</v>
      </c>
      <c r="F17" s="48" t="s">
        <v>58</v>
      </c>
      <c r="G17" s="49">
        <v>45913</v>
      </c>
      <c r="H17" s="48">
        <v>18</v>
      </c>
      <c r="I17">
        <v>70000</v>
      </c>
    </row>
    <row r="18" spans="5:9" x14ac:dyDescent="0.3">
      <c r="E18">
        <v>100</v>
      </c>
      <c r="F18" t="s">
        <v>74</v>
      </c>
      <c r="G18" s="5">
        <v>46004</v>
      </c>
      <c r="H18">
        <v>19</v>
      </c>
      <c r="I18">
        <v>37000</v>
      </c>
    </row>
  </sheetData>
  <dataConsolidate/>
  <phoneticPr fontId="4" type="noConversion"/>
  <conditionalFormatting sqref="I9:I18">
    <cfRule type="colorScale" priority="1">
      <colorScale>
        <cfvo type="min"/>
        <cfvo type="percentile" val="50"/>
        <cfvo type="max"/>
        <color theme="6" tint="0.59999389629810485"/>
        <color theme="6" tint="-0.249977111117893"/>
        <color theme="6" tint="-0.499984740745262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FB4D-E914-428F-A3CC-CCAB7BC53C2E}">
  <dimension ref="A1:H40"/>
  <sheetViews>
    <sheetView zoomScale="151" workbookViewId="0">
      <selection activeCell="A6" sqref="A6"/>
    </sheetView>
  </sheetViews>
  <sheetFormatPr defaultRowHeight="14.4" x14ac:dyDescent="0.3"/>
  <cols>
    <col min="1" max="1" width="21.6640625" customWidth="1"/>
    <col min="2" max="2" width="14.88671875" customWidth="1"/>
  </cols>
  <sheetData>
    <row r="1" spans="1:8" x14ac:dyDescent="0.3">
      <c r="A1" s="16" t="s">
        <v>87</v>
      </c>
      <c r="B1" s="16"/>
      <c r="C1" s="16"/>
    </row>
    <row r="5" spans="1:8" ht="28.8" x14ac:dyDescent="0.3">
      <c r="A5" s="17" t="s">
        <v>88</v>
      </c>
      <c r="B5" s="17" t="s">
        <v>89</v>
      </c>
      <c r="C5" s="17" t="s">
        <v>90</v>
      </c>
      <c r="D5" s="17" t="s">
        <v>91</v>
      </c>
      <c r="F5" s="17" t="s">
        <v>88</v>
      </c>
    </row>
    <row r="6" spans="1:8" ht="22.8" customHeight="1" x14ac:dyDescent="0.3">
      <c r="A6" s="18" t="s">
        <v>92</v>
      </c>
      <c r="B6" s="18" t="s">
        <v>93</v>
      </c>
      <c r="C6" s="18">
        <v>25</v>
      </c>
      <c r="D6" s="20">
        <v>26</v>
      </c>
      <c r="F6" s="30" t="s">
        <v>102</v>
      </c>
      <c r="H6" t="s">
        <v>126</v>
      </c>
    </row>
    <row r="7" spans="1:8" x14ac:dyDescent="0.3">
      <c r="A7" s="18" t="s">
        <v>94</v>
      </c>
      <c r="B7" s="18" t="s">
        <v>95</v>
      </c>
      <c r="C7" s="18">
        <v>30</v>
      </c>
      <c r="D7" s="19">
        <v>28</v>
      </c>
    </row>
    <row r="8" spans="1:8" x14ac:dyDescent="0.3">
      <c r="A8" s="18" t="s">
        <v>96</v>
      </c>
      <c r="B8" s="18" t="s">
        <v>97</v>
      </c>
      <c r="C8" s="18">
        <v>40</v>
      </c>
      <c r="D8" s="19">
        <v>21</v>
      </c>
    </row>
    <row r="9" spans="1:8" x14ac:dyDescent="0.3">
      <c r="A9" s="18" t="s">
        <v>98</v>
      </c>
      <c r="B9" s="18" t="s">
        <v>99</v>
      </c>
      <c r="C9" s="18">
        <v>35</v>
      </c>
      <c r="D9" s="19">
        <v>23</v>
      </c>
    </row>
    <row r="10" spans="1:8" x14ac:dyDescent="0.3">
      <c r="A10" s="18" t="s">
        <v>92</v>
      </c>
      <c r="B10" s="18" t="s">
        <v>100</v>
      </c>
      <c r="C10" s="18">
        <v>15</v>
      </c>
      <c r="D10" s="19">
        <v>25</v>
      </c>
    </row>
    <row r="11" spans="1:8" x14ac:dyDescent="0.3">
      <c r="A11" s="18" t="s">
        <v>96</v>
      </c>
      <c r="B11" s="18" t="s">
        <v>101</v>
      </c>
      <c r="C11" s="18">
        <v>40</v>
      </c>
      <c r="D11" s="19">
        <v>24</v>
      </c>
    </row>
    <row r="12" spans="1:8" x14ac:dyDescent="0.3">
      <c r="A12" s="18" t="s">
        <v>102</v>
      </c>
      <c r="B12" s="18" t="s">
        <v>103</v>
      </c>
      <c r="C12" s="18">
        <v>10</v>
      </c>
      <c r="D12" s="19">
        <v>29</v>
      </c>
    </row>
    <row r="13" spans="1:8" x14ac:dyDescent="0.3">
      <c r="A13" s="18" t="s">
        <v>92</v>
      </c>
      <c r="B13" s="18" t="s">
        <v>104</v>
      </c>
      <c r="C13" s="18">
        <v>5</v>
      </c>
      <c r="D13" s="19">
        <v>31</v>
      </c>
    </row>
    <row r="16" spans="1:8" ht="28.8" x14ac:dyDescent="0.3">
      <c r="A16" s="16" t="s">
        <v>106</v>
      </c>
      <c r="B16" s="16"/>
      <c r="C16" s="16"/>
      <c r="F16" s="17" t="s">
        <v>88</v>
      </c>
    </row>
    <row r="17" spans="1:8" x14ac:dyDescent="0.3">
      <c r="F17" s="30" t="s">
        <v>96</v>
      </c>
      <c r="G17" t="s">
        <v>127</v>
      </c>
      <c r="H17" t="s">
        <v>128</v>
      </c>
    </row>
    <row r="19" spans="1:8" x14ac:dyDescent="0.3">
      <c r="A19" s="17" t="s">
        <v>88</v>
      </c>
      <c r="B19" s="17" t="s">
        <v>89</v>
      </c>
      <c r="C19" s="17" t="s">
        <v>90</v>
      </c>
      <c r="D19" s="17" t="s">
        <v>91</v>
      </c>
    </row>
    <row r="20" spans="1:8" x14ac:dyDescent="0.3">
      <c r="A20" s="18" t="s">
        <v>92</v>
      </c>
      <c r="B20" s="18" t="s">
        <v>93</v>
      </c>
      <c r="C20" s="18">
        <v>25</v>
      </c>
      <c r="D20" s="19">
        <v>26</v>
      </c>
    </row>
    <row r="21" spans="1:8" x14ac:dyDescent="0.3">
      <c r="A21" s="18" t="s">
        <v>94</v>
      </c>
      <c r="B21" s="18" t="s">
        <v>95</v>
      </c>
      <c r="C21" s="18">
        <v>30</v>
      </c>
      <c r="D21" s="19">
        <v>28</v>
      </c>
    </row>
    <row r="22" spans="1:8" x14ac:dyDescent="0.3">
      <c r="A22" s="18" t="s">
        <v>96</v>
      </c>
      <c r="B22" s="18" t="s">
        <v>97</v>
      </c>
      <c r="C22" s="18">
        <v>40</v>
      </c>
      <c r="D22" s="19">
        <v>21</v>
      </c>
    </row>
    <row r="23" spans="1:8" x14ac:dyDescent="0.3">
      <c r="A23" s="18" t="s">
        <v>98</v>
      </c>
      <c r="B23" s="18" t="s">
        <v>99</v>
      </c>
      <c r="C23" s="18">
        <v>35</v>
      </c>
      <c r="D23" s="19">
        <v>23</v>
      </c>
    </row>
    <row r="24" spans="1:8" x14ac:dyDescent="0.3">
      <c r="A24" s="18" t="s">
        <v>92</v>
      </c>
      <c r="B24" s="18" t="s">
        <v>100</v>
      </c>
      <c r="C24" s="18">
        <v>15</v>
      </c>
      <c r="D24" s="19">
        <v>25</v>
      </c>
    </row>
    <row r="25" spans="1:8" x14ac:dyDescent="0.3">
      <c r="A25" s="18" t="s">
        <v>96</v>
      </c>
      <c r="B25" s="18" t="s">
        <v>101</v>
      </c>
      <c r="C25" s="18">
        <v>40</v>
      </c>
      <c r="D25" s="19">
        <v>24</v>
      </c>
    </row>
    <row r="26" spans="1:8" x14ac:dyDescent="0.3">
      <c r="A26" s="18" t="s">
        <v>102</v>
      </c>
      <c r="B26" s="18" t="s">
        <v>103</v>
      </c>
      <c r="C26" s="18">
        <v>10</v>
      </c>
      <c r="D26" s="19">
        <v>29</v>
      </c>
    </row>
    <row r="27" spans="1:8" x14ac:dyDescent="0.3">
      <c r="A27" s="18" t="s">
        <v>92</v>
      </c>
      <c r="B27" s="18" t="s">
        <v>104</v>
      </c>
      <c r="C27" s="18">
        <v>5</v>
      </c>
      <c r="D27" s="19">
        <v>31</v>
      </c>
    </row>
    <row r="29" spans="1:8" x14ac:dyDescent="0.3">
      <c r="A29" s="16" t="s">
        <v>105</v>
      </c>
      <c r="B29" s="16"/>
      <c r="C29" s="16"/>
    </row>
    <row r="31" spans="1:8" ht="28.8" x14ac:dyDescent="0.3">
      <c r="F31" s="28" t="s">
        <v>88</v>
      </c>
      <c r="G31" s="27" t="s">
        <v>108</v>
      </c>
    </row>
    <row r="32" spans="1:8" x14ac:dyDescent="0.3">
      <c r="A32" s="17" t="s">
        <v>88</v>
      </c>
      <c r="B32" s="17" t="s">
        <v>107</v>
      </c>
      <c r="C32" s="17" t="s">
        <v>67</v>
      </c>
      <c r="D32" s="17" t="s">
        <v>69</v>
      </c>
      <c r="F32" s="29" t="s">
        <v>92</v>
      </c>
      <c r="G32" s="17" t="s">
        <v>67</v>
      </c>
    </row>
    <row r="33" spans="1:4" x14ac:dyDescent="0.3">
      <c r="A33" s="18" t="s">
        <v>92</v>
      </c>
      <c r="B33" s="19">
        <v>26</v>
      </c>
      <c r="C33" s="19">
        <v>26</v>
      </c>
      <c r="D33" s="19">
        <v>26</v>
      </c>
    </row>
    <row r="34" spans="1:4" x14ac:dyDescent="0.3">
      <c r="A34" s="18" t="s">
        <v>94</v>
      </c>
      <c r="B34" s="19">
        <v>28</v>
      </c>
      <c r="C34" s="19">
        <v>28</v>
      </c>
      <c r="D34" s="19">
        <v>28</v>
      </c>
    </row>
    <row r="35" spans="1:4" x14ac:dyDescent="0.3">
      <c r="A35" s="18" t="s">
        <v>96</v>
      </c>
      <c r="B35" s="19">
        <v>21</v>
      </c>
      <c r="C35" s="19">
        <v>21</v>
      </c>
      <c r="D35" s="19">
        <v>21</v>
      </c>
    </row>
    <row r="36" spans="1:4" x14ac:dyDescent="0.3">
      <c r="A36" s="18" t="s">
        <v>98</v>
      </c>
      <c r="B36" s="19">
        <v>23</v>
      </c>
      <c r="C36" s="19">
        <v>23</v>
      </c>
      <c r="D36" s="19">
        <v>23</v>
      </c>
    </row>
    <row r="37" spans="1:4" x14ac:dyDescent="0.3">
      <c r="A37" s="18" t="s">
        <v>92</v>
      </c>
      <c r="B37" s="19">
        <v>25</v>
      </c>
      <c r="C37" s="19">
        <v>25</v>
      </c>
      <c r="D37" s="19">
        <v>25</v>
      </c>
    </row>
    <row r="38" spans="1:4" x14ac:dyDescent="0.3">
      <c r="A38" s="18" t="s">
        <v>96</v>
      </c>
      <c r="B38" s="19">
        <v>24</v>
      </c>
      <c r="C38" s="19">
        <v>24</v>
      </c>
      <c r="D38" s="19">
        <v>24</v>
      </c>
    </row>
    <row r="39" spans="1:4" x14ac:dyDescent="0.3">
      <c r="A39" s="18" t="s">
        <v>102</v>
      </c>
      <c r="B39" s="19">
        <v>29</v>
      </c>
      <c r="C39" s="19">
        <v>29</v>
      </c>
      <c r="D39" s="19">
        <v>29</v>
      </c>
    </row>
    <row r="40" spans="1:4" x14ac:dyDescent="0.3">
      <c r="A40" s="18" t="s">
        <v>92</v>
      </c>
      <c r="B40" s="19">
        <v>31</v>
      </c>
      <c r="C40" s="19">
        <v>31</v>
      </c>
      <c r="D40" s="19">
        <v>31</v>
      </c>
    </row>
  </sheetData>
  <conditionalFormatting sqref="A6:A13">
    <cfRule type="expression" dxfId="0" priority="1">
      <formula>$A6=$F$6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D641-BFB2-478B-9D16-B089A784D290}">
  <dimension ref="A1:E20"/>
  <sheetViews>
    <sheetView workbookViewId="0">
      <selection activeCell="C13" sqref="C13"/>
    </sheetView>
  </sheetViews>
  <sheetFormatPr defaultRowHeight="14.4" x14ac:dyDescent="0.3"/>
  <cols>
    <col min="1" max="1" width="26.109375" customWidth="1"/>
    <col min="2" max="2" width="30.21875" customWidth="1"/>
    <col min="3" max="3" width="31.77734375" customWidth="1"/>
    <col min="4" max="4" width="28.44140625" customWidth="1"/>
    <col min="5" max="5" width="36.21875" customWidth="1"/>
  </cols>
  <sheetData>
    <row r="1" spans="1:5" ht="145.80000000000001" customHeight="1" x14ac:dyDescent="0.3"/>
    <row r="2" spans="1:5" x14ac:dyDescent="0.3">
      <c r="B2" s="15" t="s">
        <v>75</v>
      </c>
      <c r="C2" s="15" t="s">
        <v>76</v>
      </c>
      <c r="D2" s="15" t="s">
        <v>77</v>
      </c>
      <c r="E2" s="15" t="s">
        <v>78</v>
      </c>
    </row>
    <row r="3" spans="1:5" x14ac:dyDescent="0.3">
      <c r="B3" t="s">
        <v>79</v>
      </c>
      <c r="C3">
        <v>3000</v>
      </c>
      <c r="D3">
        <v>4000</v>
      </c>
      <c r="E3">
        <v>12000</v>
      </c>
    </row>
    <row r="4" spans="1:5" x14ac:dyDescent="0.3">
      <c r="B4" t="s">
        <v>80</v>
      </c>
      <c r="C4">
        <v>4000</v>
      </c>
      <c r="D4">
        <v>6700</v>
      </c>
      <c r="E4">
        <v>-34000</v>
      </c>
    </row>
    <row r="5" spans="1:5" x14ac:dyDescent="0.3">
      <c r="B5" t="s">
        <v>81</v>
      </c>
      <c r="C5">
        <v>-2300</v>
      </c>
      <c r="D5">
        <v>5600</v>
      </c>
      <c r="E5">
        <v>35000</v>
      </c>
    </row>
    <row r="6" spans="1:5" x14ac:dyDescent="0.3">
      <c r="B6" t="s">
        <v>82</v>
      </c>
      <c r="C6">
        <v>3400</v>
      </c>
      <c r="D6">
        <v>7800</v>
      </c>
      <c r="E6">
        <v>69000</v>
      </c>
    </row>
    <row r="7" spans="1:5" x14ac:dyDescent="0.3">
      <c r="B7" t="s">
        <v>83</v>
      </c>
      <c r="C7">
        <v>4600</v>
      </c>
      <c r="D7">
        <v>-2300</v>
      </c>
      <c r="E7">
        <v>45000</v>
      </c>
    </row>
    <row r="8" spans="1:5" x14ac:dyDescent="0.3">
      <c r="B8" t="s">
        <v>84</v>
      </c>
      <c r="C8">
        <v>4300</v>
      </c>
      <c r="D8">
        <v>5600</v>
      </c>
      <c r="E8">
        <v>56000</v>
      </c>
    </row>
    <row r="9" spans="1:5" x14ac:dyDescent="0.3">
      <c r="B9" t="s">
        <v>85</v>
      </c>
      <c r="C9">
        <v>6000</v>
      </c>
    </row>
    <row r="16" spans="1:5" x14ac:dyDescent="0.3">
      <c r="A16" s="33" t="s">
        <v>166</v>
      </c>
      <c r="B16" s="34"/>
      <c r="C16" s="34"/>
      <c r="D16" s="34"/>
    </row>
    <row r="17" spans="1:3" x14ac:dyDescent="0.3">
      <c r="A17" s="39"/>
    </row>
    <row r="18" spans="1:3" x14ac:dyDescent="0.3">
      <c r="A18" s="35" t="s">
        <v>167</v>
      </c>
      <c r="B18" s="34"/>
    </row>
    <row r="19" spans="1:3" x14ac:dyDescent="0.3">
      <c r="A19" s="39"/>
    </row>
    <row r="20" spans="1:3" x14ac:dyDescent="0.3">
      <c r="A20" s="35" t="s">
        <v>168</v>
      </c>
      <c r="B20" s="34"/>
      <c r="C20" s="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0C3A-3EF2-4A31-A154-37B0F9E1BA9F}">
  <dimension ref="C1:O11"/>
  <sheetViews>
    <sheetView zoomScale="201" workbookViewId="0">
      <selection activeCell="A9" sqref="A9"/>
    </sheetView>
  </sheetViews>
  <sheetFormatPr defaultRowHeight="14.4" x14ac:dyDescent="0.3"/>
  <cols>
    <col min="1" max="1" width="8.33203125" customWidth="1"/>
  </cols>
  <sheetData>
    <row r="1" spans="3:15" x14ac:dyDescent="0.3">
      <c r="C1" s="21" t="s">
        <v>114</v>
      </c>
      <c r="D1" s="21" t="s">
        <v>1</v>
      </c>
      <c r="E1" s="21" t="s">
        <v>115</v>
      </c>
      <c r="F1" s="21" t="s">
        <v>116</v>
      </c>
      <c r="G1" s="21" t="s">
        <v>117</v>
      </c>
      <c r="H1" s="21" t="s">
        <v>118</v>
      </c>
    </row>
    <row r="2" spans="3:15" x14ac:dyDescent="0.3">
      <c r="C2">
        <v>1</v>
      </c>
      <c r="D2" t="s">
        <v>119</v>
      </c>
      <c r="E2">
        <v>45</v>
      </c>
      <c r="F2">
        <v>45</v>
      </c>
      <c r="G2">
        <v>45</v>
      </c>
      <c r="H2">
        <v>45</v>
      </c>
    </row>
    <row r="3" spans="3:15" x14ac:dyDescent="0.3">
      <c r="C3">
        <v>2</v>
      </c>
      <c r="D3" t="s">
        <v>120</v>
      </c>
      <c r="E3">
        <v>60</v>
      </c>
      <c r="F3">
        <v>60</v>
      </c>
      <c r="G3">
        <v>60</v>
      </c>
      <c r="H3">
        <v>60</v>
      </c>
    </row>
    <row r="4" spans="3:15" x14ac:dyDescent="0.3">
      <c r="C4">
        <v>3</v>
      </c>
      <c r="D4" t="s">
        <v>121</v>
      </c>
      <c r="E4">
        <v>90</v>
      </c>
      <c r="F4">
        <v>90</v>
      </c>
      <c r="G4">
        <v>90</v>
      </c>
      <c r="H4">
        <v>90</v>
      </c>
    </row>
    <row r="5" spans="3:15" x14ac:dyDescent="0.3">
      <c r="C5">
        <v>4</v>
      </c>
      <c r="D5" t="s">
        <v>122</v>
      </c>
      <c r="E5">
        <v>67</v>
      </c>
      <c r="F5">
        <v>67</v>
      </c>
      <c r="G5">
        <v>67</v>
      </c>
      <c r="H5">
        <v>67</v>
      </c>
    </row>
    <row r="6" spans="3:15" x14ac:dyDescent="0.3">
      <c r="C6">
        <v>5</v>
      </c>
      <c r="D6" t="s">
        <v>123</v>
      </c>
      <c r="E6">
        <v>56</v>
      </c>
      <c r="F6">
        <v>56</v>
      </c>
      <c r="G6">
        <v>56</v>
      </c>
      <c r="H6">
        <v>56</v>
      </c>
    </row>
    <row r="7" spans="3:15" x14ac:dyDescent="0.3">
      <c r="C7">
        <v>6</v>
      </c>
      <c r="D7" t="s">
        <v>124</v>
      </c>
      <c r="E7">
        <v>34</v>
      </c>
      <c r="F7">
        <v>34</v>
      </c>
      <c r="G7">
        <v>34</v>
      </c>
      <c r="H7">
        <v>34</v>
      </c>
    </row>
    <row r="8" spans="3:15" x14ac:dyDescent="0.3">
      <c r="C8">
        <v>7</v>
      </c>
      <c r="D8" t="s">
        <v>125</v>
      </c>
      <c r="E8">
        <v>30</v>
      </c>
      <c r="F8">
        <v>30</v>
      </c>
      <c r="G8">
        <v>30</v>
      </c>
      <c r="H8">
        <v>30</v>
      </c>
    </row>
    <row r="11" spans="3:15" x14ac:dyDescent="0.3">
      <c r="D11" s="33" t="s">
        <v>169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</sheetData>
  <dataConsolidate>
    <dataRefs count="1">
      <dataRef ref="C1:H8" sheet="3D SUM(2018)"/>
    </dataRefs>
  </dataConsolid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0AB9-9470-4B15-9AAF-967A898466C4}">
  <dimension ref="E2:J9"/>
  <sheetViews>
    <sheetView topLeftCell="C1" zoomScale="118" workbookViewId="0">
      <selection activeCell="F11" sqref="F11"/>
    </sheetView>
  </sheetViews>
  <sheetFormatPr defaultRowHeight="14.4" x14ac:dyDescent="0.3"/>
  <sheetData>
    <row r="2" spans="5:10" x14ac:dyDescent="0.3">
      <c r="E2" s="21" t="s">
        <v>114</v>
      </c>
      <c r="F2" s="21" t="s">
        <v>1</v>
      </c>
      <c r="G2" s="21" t="s">
        <v>115</v>
      </c>
      <c r="H2" s="21" t="s">
        <v>116</v>
      </c>
      <c r="I2" s="21" t="s">
        <v>117</v>
      </c>
      <c r="J2" s="21" t="s">
        <v>118</v>
      </c>
    </row>
    <row r="3" spans="5:10" x14ac:dyDescent="0.3">
      <c r="E3">
        <v>1</v>
      </c>
      <c r="F3" t="s">
        <v>119</v>
      </c>
      <c r="G3">
        <v>45</v>
      </c>
      <c r="H3">
        <v>45</v>
      </c>
      <c r="I3">
        <v>45</v>
      </c>
      <c r="J3">
        <v>45</v>
      </c>
    </row>
    <row r="4" spans="5:10" x14ac:dyDescent="0.3">
      <c r="E4">
        <v>2</v>
      </c>
      <c r="F4" t="s">
        <v>120</v>
      </c>
      <c r="G4">
        <v>60</v>
      </c>
      <c r="H4">
        <v>60</v>
      </c>
      <c r="I4">
        <v>60</v>
      </c>
      <c r="J4">
        <v>60</v>
      </c>
    </row>
    <row r="5" spans="5:10" x14ac:dyDescent="0.3">
      <c r="E5">
        <v>3</v>
      </c>
      <c r="F5" t="s">
        <v>121</v>
      </c>
      <c r="G5">
        <v>90</v>
      </c>
      <c r="H5">
        <v>90</v>
      </c>
      <c r="I5">
        <v>90</v>
      </c>
      <c r="J5">
        <v>90</v>
      </c>
    </row>
    <row r="6" spans="5:10" x14ac:dyDescent="0.3">
      <c r="E6">
        <v>4</v>
      </c>
      <c r="F6" t="s">
        <v>122</v>
      </c>
      <c r="G6">
        <v>67</v>
      </c>
      <c r="H6">
        <v>67</v>
      </c>
      <c r="I6">
        <v>67</v>
      </c>
      <c r="J6">
        <v>67</v>
      </c>
    </row>
    <row r="7" spans="5:10" x14ac:dyDescent="0.3">
      <c r="E7">
        <v>5</v>
      </c>
      <c r="F7" t="s">
        <v>123</v>
      </c>
      <c r="G7">
        <v>56</v>
      </c>
      <c r="H7">
        <v>56</v>
      </c>
      <c r="I7">
        <v>56</v>
      </c>
      <c r="J7">
        <v>56</v>
      </c>
    </row>
    <row r="8" spans="5:10" x14ac:dyDescent="0.3">
      <c r="E8">
        <v>6</v>
      </c>
      <c r="F8" t="s">
        <v>124</v>
      </c>
      <c r="G8">
        <v>34</v>
      </c>
      <c r="H8">
        <v>34</v>
      </c>
      <c r="I8">
        <v>34</v>
      </c>
      <c r="J8">
        <v>34</v>
      </c>
    </row>
    <row r="9" spans="5:10" x14ac:dyDescent="0.3">
      <c r="E9">
        <v>7</v>
      </c>
      <c r="F9" t="s">
        <v>125</v>
      </c>
      <c r="G9">
        <v>30</v>
      </c>
      <c r="H9">
        <v>30</v>
      </c>
      <c r="I9">
        <v>30</v>
      </c>
      <c r="J9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9214-0383-43E5-9251-CF4F26C3035F}">
  <dimension ref="C4:H11"/>
  <sheetViews>
    <sheetView topLeftCell="C1" zoomScale="198" workbookViewId="0">
      <selection activeCell="F3" sqref="F3"/>
    </sheetView>
  </sheetViews>
  <sheetFormatPr defaultRowHeight="14.4" x14ac:dyDescent="0.3"/>
  <sheetData>
    <row r="4" spans="3:8" x14ac:dyDescent="0.3">
      <c r="C4" s="21" t="s">
        <v>114</v>
      </c>
      <c r="D4" s="21" t="s">
        <v>1</v>
      </c>
      <c r="E4" s="21" t="s">
        <v>115</v>
      </c>
      <c r="F4" s="21" t="s">
        <v>116</v>
      </c>
      <c r="G4" s="21" t="s">
        <v>117</v>
      </c>
      <c r="H4" s="21" t="s">
        <v>118</v>
      </c>
    </row>
    <row r="5" spans="3:8" x14ac:dyDescent="0.3">
      <c r="C5">
        <v>1</v>
      </c>
      <c r="D5" t="s">
        <v>119</v>
      </c>
      <c r="E5">
        <v>45</v>
      </c>
      <c r="F5">
        <v>45</v>
      </c>
      <c r="G5">
        <v>45</v>
      </c>
      <c r="H5">
        <v>45</v>
      </c>
    </row>
    <row r="6" spans="3:8" x14ac:dyDescent="0.3">
      <c r="C6">
        <v>2</v>
      </c>
      <c r="D6" t="s">
        <v>120</v>
      </c>
      <c r="E6">
        <v>60</v>
      </c>
      <c r="F6">
        <v>60</v>
      </c>
      <c r="G6">
        <v>60</v>
      </c>
      <c r="H6">
        <v>60</v>
      </c>
    </row>
    <row r="7" spans="3:8" x14ac:dyDescent="0.3">
      <c r="C7">
        <v>3</v>
      </c>
      <c r="D7" t="s">
        <v>121</v>
      </c>
      <c r="E7">
        <v>90</v>
      </c>
      <c r="F7">
        <v>90</v>
      </c>
      <c r="G7">
        <v>90</v>
      </c>
      <c r="H7">
        <v>90</v>
      </c>
    </row>
    <row r="8" spans="3:8" x14ac:dyDescent="0.3">
      <c r="C8">
        <v>4</v>
      </c>
      <c r="D8" t="s">
        <v>122</v>
      </c>
      <c r="E8">
        <v>67</v>
      </c>
      <c r="F8">
        <v>67</v>
      </c>
      <c r="G8">
        <v>67</v>
      </c>
      <c r="H8">
        <v>67</v>
      </c>
    </row>
    <row r="9" spans="3:8" x14ac:dyDescent="0.3">
      <c r="C9">
        <v>5</v>
      </c>
      <c r="D9" t="s">
        <v>123</v>
      </c>
      <c r="E9">
        <v>56</v>
      </c>
      <c r="F9">
        <v>56</v>
      </c>
      <c r="G9">
        <v>56</v>
      </c>
      <c r="H9">
        <v>56</v>
      </c>
    </row>
    <row r="10" spans="3:8" x14ac:dyDescent="0.3">
      <c r="C10">
        <v>6</v>
      </c>
      <c r="D10" t="s">
        <v>124</v>
      </c>
      <c r="E10">
        <v>34</v>
      </c>
      <c r="F10">
        <v>34</v>
      </c>
      <c r="G10">
        <v>34</v>
      </c>
      <c r="H10">
        <v>34</v>
      </c>
    </row>
    <row r="11" spans="3:8" x14ac:dyDescent="0.3">
      <c r="C11">
        <v>7</v>
      </c>
      <c r="D11" t="s">
        <v>125</v>
      </c>
      <c r="E11">
        <v>30</v>
      </c>
      <c r="F11">
        <v>30</v>
      </c>
      <c r="G11">
        <v>30</v>
      </c>
      <c r="H11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7F7C-CFC7-4080-9B81-E36BE6965B5F}">
  <dimension ref="A1:F8"/>
  <sheetViews>
    <sheetView zoomScale="201" workbookViewId="0">
      <selection activeCell="C1" sqref="C1"/>
    </sheetView>
  </sheetViews>
  <sheetFormatPr defaultRowHeight="14.4" x14ac:dyDescent="0.3"/>
  <sheetData>
    <row r="1" spans="1:6" x14ac:dyDescent="0.3">
      <c r="A1" s="21" t="s">
        <v>114</v>
      </c>
      <c r="B1" s="21" t="s">
        <v>1</v>
      </c>
      <c r="C1" s="21" t="s">
        <v>115</v>
      </c>
      <c r="D1" s="21" t="s">
        <v>116</v>
      </c>
      <c r="E1" s="21" t="s">
        <v>117</v>
      </c>
      <c r="F1" s="21" t="s">
        <v>118</v>
      </c>
    </row>
    <row r="2" spans="1:6" x14ac:dyDescent="0.3">
      <c r="A2">
        <v>1</v>
      </c>
      <c r="B2" t="s">
        <v>119</v>
      </c>
    </row>
    <row r="3" spans="1:6" x14ac:dyDescent="0.3">
      <c r="A3">
        <v>2</v>
      </c>
      <c r="B3" t="s">
        <v>120</v>
      </c>
    </row>
    <row r="4" spans="1:6" x14ac:dyDescent="0.3">
      <c r="A4">
        <v>3</v>
      </c>
      <c r="B4" t="s">
        <v>121</v>
      </c>
    </row>
    <row r="5" spans="1:6" x14ac:dyDescent="0.3">
      <c r="A5">
        <v>4</v>
      </c>
      <c r="B5" t="s">
        <v>122</v>
      </c>
    </row>
    <row r="6" spans="1:6" x14ac:dyDescent="0.3">
      <c r="A6">
        <v>5</v>
      </c>
      <c r="B6" t="s">
        <v>123</v>
      </c>
    </row>
    <row r="7" spans="1:6" x14ac:dyDescent="0.3">
      <c r="A7">
        <v>6</v>
      </c>
      <c r="B7" t="s">
        <v>124</v>
      </c>
    </row>
    <row r="8" spans="1:6" x14ac:dyDescent="0.3">
      <c r="A8">
        <v>7</v>
      </c>
      <c r="B8" t="s">
        <v>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FFF4-B1EA-41A4-B8CB-9B1A6805567E}">
  <dimension ref="A1:M13"/>
  <sheetViews>
    <sheetView topLeftCell="B1" zoomScale="174" workbookViewId="0">
      <selection activeCell="C13" sqref="C13:M13"/>
    </sheetView>
  </sheetViews>
  <sheetFormatPr defaultRowHeight="14.4" x14ac:dyDescent="0.3"/>
  <sheetData>
    <row r="1" spans="1:13" x14ac:dyDescent="0.3">
      <c r="A1" s="21" t="s">
        <v>114</v>
      </c>
      <c r="B1" s="21" t="s">
        <v>1</v>
      </c>
      <c r="C1" s="21" t="s">
        <v>115</v>
      </c>
      <c r="D1" s="21" t="s">
        <v>116</v>
      </c>
      <c r="E1" s="21" t="s">
        <v>117</v>
      </c>
      <c r="F1" s="21" t="s">
        <v>118</v>
      </c>
    </row>
    <row r="2" spans="1:13" x14ac:dyDescent="0.3">
      <c r="A2">
        <v>1</v>
      </c>
      <c r="B2" t="s">
        <v>119</v>
      </c>
      <c r="C2">
        <v>135</v>
      </c>
      <c r="D2">
        <v>135</v>
      </c>
      <c r="E2">
        <v>135</v>
      </c>
      <c r="F2">
        <v>135</v>
      </c>
    </row>
    <row r="3" spans="1:13" x14ac:dyDescent="0.3">
      <c r="A3">
        <v>2</v>
      </c>
      <c r="B3" t="s">
        <v>120</v>
      </c>
      <c r="C3">
        <v>180</v>
      </c>
      <c r="D3">
        <v>180</v>
      </c>
      <c r="E3">
        <v>180</v>
      </c>
      <c r="F3">
        <v>180</v>
      </c>
    </row>
    <row r="4" spans="1:13" x14ac:dyDescent="0.3">
      <c r="A4">
        <v>3</v>
      </c>
      <c r="B4" t="s">
        <v>121</v>
      </c>
      <c r="C4">
        <v>270</v>
      </c>
      <c r="D4">
        <v>270</v>
      </c>
      <c r="E4">
        <v>270</v>
      </c>
      <c r="F4">
        <v>270</v>
      </c>
    </row>
    <row r="5" spans="1:13" x14ac:dyDescent="0.3">
      <c r="A5">
        <v>4</v>
      </c>
      <c r="B5" t="s">
        <v>122</v>
      </c>
      <c r="C5">
        <v>201</v>
      </c>
      <c r="D5">
        <v>201</v>
      </c>
      <c r="E5">
        <v>201</v>
      </c>
      <c r="F5">
        <v>201</v>
      </c>
    </row>
    <row r="6" spans="1:13" x14ac:dyDescent="0.3">
      <c r="A6">
        <v>5</v>
      </c>
      <c r="B6" t="s">
        <v>123</v>
      </c>
      <c r="C6">
        <v>168</v>
      </c>
      <c r="D6">
        <v>168</v>
      </c>
      <c r="E6">
        <v>168</v>
      </c>
      <c r="F6">
        <v>168</v>
      </c>
    </row>
    <row r="7" spans="1:13" x14ac:dyDescent="0.3">
      <c r="A7">
        <v>6</v>
      </c>
      <c r="B7" t="s">
        <v>124</v>
      </c>
      <c r="C7">
        <v>102</v>
      </c>
      <c r="D7">
        <v>102</v>
      </c>
      <c r="E7">
        <v>102</v>
      </c>
      <c r="F7">
        <v>102</v>
      </c>
    </row>
    <row r="8" spans="1:13" x14ac:dyDescent="0.3">
      <c r="A8">
        <v>7</v>
      </c>
      <c r="B8" t="s">
        <v>125</v>
      </c>
      <c r="C8">
        <v>90</v>
      </c>
      <c r="D8">
        <v>90</v>
      </c>
      <c r="E8">
        <v>90</v>
      </c>
      <c r="F8">
        <v>90</v>
      </c>
    </row>
    <row r="13" spans="1:13" x14ac:dyDescent="0.3">
      <c r="B13" s="33" t="s">
        <v>170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</sheetData>
  <dataConsolidate>
    <dataRefs count="3">
      <dataRef ref="G3:J9" sheet="2019"/>
      <dataRef ref="E5:H11" sheet="2020"/>
      <dataRef ref="E2:H8" sheet="3D SUM(2018)"/>
    </dataRefs>
  </dataConsolid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BE9B-BE86-4ACC-80DC-F607261D1978}">
  <dimension ref="A1:L13"/>
  <sheetViews>
    <sheetView zoomScale="176" zoomScaleNormal="159" workbookViewId="0">
      <selection activeCell="B14" sqref="B14"/>
    </sheetView>
  </sheetViews>
  <sheetFormatPr defaultRowHeight="14.4" x14ac:dyDescent="0.3"/>
  <cols>
    <col min="2" max="2" width="11.21875" bestFit="1" customWidth="1"/>
    <col min="5" max="5" width="12.88671875" bestFit="1" customWidth="1"/>
  </cols>
  <sheetData>
    <row r="1" spans="1:12" x14ac:dyDescent="0.3">
      <c r="A1" s="25" t="s">
        <v>129</v>
      </c>
      <c r="B1" s="25" t="s">
        <v>130</v>
      </c>
      <c r="C1" s="25" t="s">
        <v>131</v>
      </c>
      <c r="D1" s="25" t="s">
        <v>86</v>
      </c>
      <c r="E1" s="25" t="s">
        <v>132</v>
      </c>
    </row>
    <row r="2" spans="1:12" x14ac:dyDescent="0.3">
      <c r="A2" s="31">
        <v>1</v>
      </c>
      <c r="B2" s="24" t="s">
        <v>133</v>
      </c>
      <c r="C2" s="24" t="s">
        <v>45</v>
      </c>
      <c r="D2" s="31">
        <v>56000</v>
      </c>
      <c r="E2" s="31" t="s">
        <v>144</v>
      </c>
      <c r="I2" s="25" t="s">
        <v>154</v>
      </c>
      <c r="J2" s="25"/>
      <c r="L2" s="26" t="s">
        <v>155</v>
      </c>
    </row>
    <row r="3" spans="1:12" x14ac:dyDescent="0.3">
      <c r="A3" s="31">
        <v>2</v>
      </c>
      <c r="B3" s="24" t="s">
        <v>134</v>
      </c>
      <c r="C3" s="24" t="s">
        <v>142</v>
      </c>
      <c r="D3" s="31">
        <v>45000</v>
      </c>
      <c r="E3" s="31" t="s">
        <v>145</v>
      </c>
    </row>
    <row r="4" spans="1:12" x14ac:dyDescent="0.3">
      <c r="A4" s="31">
        <v>3</v>
      </c>
      <c r="B4" s="24" t="s">
        <v>135</v>
      </c>
      <c r="C4" s="24" t="s">
        <v>143</v>
      </c>
      <c r="D4" s="31">
        <v>56000</v>
      </c>
      <c r="E4" s="31" t="s">
        <v>146</v>
      </c>
    </row>
    <row r="5" spans="1:12" x14ac:dyDescent="0.3">
      <c r="A5" s="31">
        <v>4</v>
      </c>
      <c r="B5" s="24" t="s">
        <v>136</v>
      </c>
      <c r="C5" s="24" t="s">
        <v>45</v>
      </c>
      <c r="D5" s="31">
        <v>90400</v>
      </c>
      <c r="E5" s="31" t="s">
        <v>147</v>
      </c>
      <c r="I5" t="s">
        <v>151</v>
      </c>
    </row>
    <row r="6" spans="1:12" x14ac:dyDescent="0.3">
      <c r="A6" s="31">
        <v>5</v>
      </c>
      <c r="B6" s="24" t="s">
        <v>137</v>
      </c>
      <c r="C6" s="24" t="s">
        <v>142</v>
      </c>
      <c r="D6" s="31">
        <v>23000</v>
      </c>
      <c r="E6" s="31" t="s">
        <v>144</v>
      </c>
      <c r="I6" t="s">
        <v>152</v>
      </c>
    </row>
    <row r="7" spans="1:12" x14ac:dyDescent="0.3">
      <c r="A7" s="31">
        <v>6</v>
      </c>
      <c r="B7" s="24" t="s">
        <v>138</v>
      </c>
      <c r="C7" s="24" t="s">
        <v>143</v>
      </c>
      <c r="D7" s="31">
        <v>34000</v>
      </c>
      <c r="E7" s="31" t="s">
        <v>148</v>
      </c>
      <c r="I7" t="s">
        <v>153</v>
      </c>
    </row>
    <row r="8" spans="1:12" x14ac:dyDescent="0.3">
      <c r="A8" s="31">
        <v>7</v>
      </c>
      <c r="B8" s="24" t="s">
        <v>139</v>
      </c>
      <c r="C8" s="24" t="s">
        <v>45</v>
      </c>
      <c r="D8" s="31">
        <v>78000</v>
      </c>
      <c r="E8" s="31" t="s">
        <v>149</v>
      </c>
    </row>
    <row r="9" spans="1:12" x14ac:dyDescent="0.3">
      <c r="A9" s="31">
        <v>8</v>
      </c>
      <c r="B9" s="24" t="s">
        <v>140</v>
      </c>
      <c r="C9" s="24" t="s">
        <v>45</v>
      </c>
      <c r="D9" s="31">
        <v>67000</v>
      </c>
      <c r="E9" s="31" t="s">
        <v>150</v>
      </c>
    </row>
    <row r="10" spans="1:12" x14ac:dyDescent="0.3">
      <c r="A10" s="31">
        <v>9</v>
      </c>
      <c r="B10" s="24" t="s">
        <v>141</v>
      </c>
      <c r="C10" s="24" t="s">
        <v>143</v>
      </c>
      <c r="D10" s="31">
        <v>50000</v>
      </c>
      <c r="E10" s="31" t="s">
        <v>147</v>
      </c>
    </row>
    <row r="11" spans="1:12" x14ac:dyDescent="0.3">
      <c r="A11" s="31"/>
      <c r="B11" s="24"/>
      <c r="C11" s="24"/>
      <c r="D11" s="31"/>
      <c r="E11" s="31"/>
    </row>
    <row r="13" spans="1:12" x14ac:dyDescent="0.3">
      <c r="C13" s="32"/>
      <c r="D13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435E-038D-4AB9-A891-553E638BF1C7}">
  <dimension ref="A1:E13"/>
  <sheetViews>
    <sheetView zoomScale="193" workbookViewId="0">
      <selection activeCell="F13" sqref="F13"/>
    </sheetView>
  </sheetViews>
  <sheetFormatPr defaultRowHeight="14.4" x14ac:dyDescent="0.3"/>
  <cols>
    <col min="5" max="5" width="12.88671875" bestFit="1" customWidth="1"/>
  </cols>
  <sheetData>
    <row r="1" spans="1:5" x14ac:dyDescent="0.3">
      <c r="A1" s="25" t="s">
        <v>129</v>
      </c>
      <c r="B1" s="25" t="s">
        <v>130</v>
      </c>
      <c r="C1" s="25" t="s">
        <v>131</v>
      </c>
      <c r="D1" s="25" t="s">
        <v>86</v>
      </c>
      <c r="E1" s="25" t="s">
        <v>132</v>
      </c>
    </row>
    <row r="2" spans="1:5" x14ac:dyDescent="0.3">
      <c r="A2">
        <v>1</v>
      </c>
      <c r="B2" s="23" t="s">
        <v>133</v>
      </c>
      <c r="C2" s="23" t="s">
        <v>45</v>
      </c>
      <c r="D2" s="31">
        <v>56000</v>
      </c>
      <c r="E2" t="s">
        <v>144</v>
      </c>
    </row>
    <row r="3" spans="1:5" x14ac:dyDescent="0.3">
      <c r="A3">
        <v>2</v>
      </c>
      <c r="B3" s="23" t="s">
        <v>134</v>
      </c>
      <c r="C3" s="23" t="s">
        <v>142</v>
      </c>
      <c r="D3">
        <v>45000</v>
      </c>
      <c r="E3" t="s">
        <v>145</v>
      </c>
    </row>
    <row r="4" spans="1:5" x14ac:dyDescent="0.3">
      <c r="A4">
        <v>3</v>
      </c>
      <c r="B4" s="23" t="s">
        <v>135</v>
      </c>
      <c r="C4" s="24" t="s">
        <v>143</v>
      </c>
      <c r="D4">
        <v>56000</v>
      </c>
      <c r="E4" t="s">
        <v>146</v>
      </c>
    </row>
    <row r="5" spans="1:5" x14ac:dyDescent="0.3">
      <c r="A5">
        <v>4</v>
      </c>
      <c r="B5" s="23" t="s">
        <v>136</v>
      </c>
      <c r="C5" s="24" t="s">
        <v>45</v>
      </c>
      <c r="D5">
        <v>90400</v>
      </c>
      <c r="E5" t="s">
        <v>147</v>
      </c>
    </row>
    <row r="6" spans="1:5" x14ac:dyDescent="0.3">
      <c r="A6">
        <v>5</v>
      </c>
      <c r="B6" s="23" t="s">
        <v>137</v>
      </c>
      <c r="C6" s="24" t="s">
        <v>142</v>
      </c>
      <c r="D6">
        <v>23000</v>
      </c>
      <c r="E6" t="s">
        <v>144</v>
      </c>
    </row>
    <row r="7" spans="1:5" x14ac:dyDescent="0.3">
      <c r="A7">
        <v>6</v>
      </c>
      <c r="B7" s="23" t="s">
        <v>138</v>
      </c>
      <c r="C7" s="24" t="s">
        <v>143</v>
      </c>
      <c r="D7">
        <v>34000</v>
      </c>
      <c r="E7" t="s">
        <v>148</v>
      </c>
    </row>
    <row r="8" spans="1:5" x14ac:dyDescent="0.3">
      <c r="A8">
        <v>7</v>
      </c>
      <c r="B8" s="24" t="s">
        <v>139</v>
      </c>
      <c r="C8" s="24" t="s">
        <v>45</v>
      </c>
      <c r="D8">
        <v>78000</v>
      </c>
      <c r="E8" t="s">
        <v>149</v>
      </c>
    </row>
    <row r="9" spans="1:5" x14ac:dyDescent="0.3">
      <c r="A9">
        <v>8</v>
      </c>
      <c r="B9" s="24" t="s">
        <v>140</v>
      </c>
      <c r="C9" s="24" t="s">
        <v>45</v>
      </c>
      <c r="D9">
        <v>67000</v>
      </c>
      <c r="E9" t="s">
        <v>150</v>
      </c>
    </row>
    <row r="10" spans="1:5" x14ac:dyDescent="0.3">
      <c r="A10">
        <v>9</v>
      </c>
      <c r="B10" s="24" t="s">
        <v>141</v>
      </c>
      <c r="C10" s="24" t="s">
        <v>143</v>
      </c>
      <c r="D10">
        <v>50000</v>
      </c>
      <c r="E10" t="s">
        <v>147</v>
      </c>
    </row>
    <row r="11" spans="1:5" x14ac:dyDescent="0.3">
      <c r="A11" s="31"/>
      <c r="B11" s="24"/>
      <c r="C11" s="24"/>
      <c r="D11" s="31"/>
      <c r="E11" s="31"/>
    </row>
    <row r="13" spans="1:5" x14ac:dyDescent="0.3">
      <c r="C13" s="32"/>
      <c r="D13" s="2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FBCA-4F32-49F9-ADBE-6B2B06024A9C}">
  <dimension ref="A1:E13"/>
  <sheetViews>
    <sheetView zoomScale="176" workbookViewId="0">
      <selection activeCell="F12" sqref="F12"/>
    </sheetView>
  </sheetViews>
  <sheetFormatPr defaultRowHeight="14.4" x14ac:dyDescent="0.3"/>
  <cols>
    <col min="5" max="5" width="12.88671875" bestFit="1" customWidth="1"/>
  </cols>
  <sheetData>
    <row r="1" spans="1:5" x14ac:dyDescent="0.3">
      <c r="A1" s="25" t="s">
        <v>129</v>
      </c>
      <c r="B1" s="25" t="s">
        <v>130</v>
      </c>
      <c r="C1" s="25" t="s">
        <v>131</v>
      </c>
      <c r="D1" s="25" t="s">
        <v>86</v>
      </c>
      <c r="E1" s="25" t="s">
        <v>132</v>
      </c>
    </row>
    <row r="2" spans="1:5" x14ac:dyDescent="0.3">
      <c r="A2">
        <v>1</v>
      </c>
      <c r="B2" s="23" t="s">
        <v>133</v>
      </c>
      <c r="C2" s="23" t="s">
        <v>45</v>
      </c>
      <c r="D2">
        <v>56000</v>
      </c>
      <c r="E2" t="s">
        <v>144</v>
      </c>
    </row>
    <row r="3" spans="1:5" x14ac:dyDescent="0.3">
      <c r="A3">
        <v>2</v>
      </c>
      <c r="B3" s="23" t="s">
        <v>134</v>
      </c>
      <c r="C3" s="23" t="s">
        <v>142</v>
      </c>
      <c r="D3">
        <v>45000</v>
      </c>
      <c r="E3" t="s">
        <v>145</v>
      </c>
    </row>
    <row r="4" spans="1:5" x14ac:dyDescent="0.3">
      <c r="A4">
        <v>3</v>
      </c>
      <c r="B4" s="23" t="s">
        <v>135</v>
      </c>
      <c r="C4" s="24" t="s">
        <v>143</v>
      </c>
      <c r="D4">
        <v>56000</v>
      </c>
      <c r="E4" t="s">
        <v>146</v>
      </c>
    </row>
    <row r="5" spans="1:5" x14ac:dyDescent="0.3">
      <c r="A5">
        <v>4</v>
      </c>
      <c r="B5" s="23" t="s">
        <v>136</v>
      </c>
      <c r="C5" s="24" t="s">
        <v>45</v>
      </c>
      <c r="D5">
        <v>90400</v>
      </c>
      <c r="E5" t="s">
        <v>147</v>
      </c>
    </row>
    <row r="6" spans="1:5" x14ac:dyDescent="0.3">
      <c r="A6">
        <v>5</v>
      </c>
      <c r="B6" s="23" t="s">
        <v>137</v>
      </c>
      <c r="C6" s="24" t="s">
        <v>142</v>
      </c>
      <c r="D6">
        <v>23000</v>
      </c>
      <c r="E6" t="s">
        <v>144</v>
      </c>
    </row>
    <row r="7" spans="1:5" x14ac:dyDescent="0.3">
      <c r="A7">
        <v>6</v>
      </c>
      <c r="B7" s="23" t="s">
        <v>138</v>
      </c>
      <c r="C7" s="24" t="s">
        <v>143</v>
      </c>
      <c r="D7">
        <v>34000</v>
      </c>
      <c r="E7" t="s">
        <v>148</v>
      </c>
    </row>
    <row r="8" spans="1:5" x14ac:dyDescent="0.3">
      <c r="A8">
        <v>7</v>
      </c>
      <c r="B8" s="24" t="s">
        <v>139</v>
      </c>
      <c r="C8" s="24" t="s">
        <v>45</v>
      </c>
      <c r="D8">
        <v>78000</v>
      </c>
      <c r="E8" t="s">
        <v>149</v>
      </c>
    </row>
    <row r="9" spans="1:5" x14ac:dyDescent="0.3">
      <c r="A9">
        <v>8</v>
      </c>
      <c r="B9" s="24" t="s">
        <v>140</v>
      </c>
      <c r="C9" s="24" t="s">
        <v>45</v>
      </c>
      <c r="D9">
        <v>67000</v>
      </c>
      <c r="E9" t="s">
        <v>150</v>
      </c>
    </row>
    <row r="10" spans="1:5" x14ac:dyDescent="0.3">
      <c r="A10">
        <v>9</v>
      </c>
      <c r="B10" s="24" t="s">
        <v>141</v>
      </c>
      <c r="C10" s="24" t="s">
        <v>143</v>
      </c>
      <c r="D10">
        <v>50000</v>
      </c>
      <c r="E10" t="s">
        <v>147</v>
      </c>
    </row>
    <row r="11" spans="1:5" x14ac:dyDescent="0.3">
      <c r="A11" s="31"/>
      <c r="B11" s="24"/>
      <c r="C11" s="24"/>
      <c r="D11" s="31"/>
      <c r="E11" s="31"/>
    </row>
    <row r="13" spans="1:5" x14ac:dyDescent="0.3">
      <c r="C13" s="32"/>
      <c r="D13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51E7-CB99-4404-AEE9-BB6C2F9E47B8}">
  <dimension ref="VYB540046"/>
  <sheetViews>
    <sheetView workbookViewId="0"/>
  </sheetViews>
  <sheetFormatPr defaultRowHeight="14.4" x14ac:dyDescent="0.3"/>
  <sheetData>
    <row r="540046" spans="15524:15524" x14ac:dyDescent="0.3">
      <c r="VYB54004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VLOOKUP</vt:lpstr>
      <vt:lpstr>HLOOKUP</vt:lpstr>
      <vt:lpstr>XLOOKUP</vt:lpstr>
      <vt:lpstr>INDEX MATCH</vt:lpstr>
      <vt:lpstr>SEQUENCE</vt:lpstr>
      <vt:lpstr>DATA VALIDATION</vt:lpstr>
      <vt:lpstr>CONDITIONAL FORMATTING</vt:lpstr>
      <vt:lpstr>ADVANCED FORMATTING</vt:lpstr>
      <vt:lpstr>SPARKLINES</vt:lpstr>
      <vt:lpstr>3D SUM(2018)</vt:lpstr>
      <vt:lpstr>2019</vt:lpstr>
      <vt:lpstr>2020</vt:lpstr>
      <vt:lpstr>3D Sum</vt:lpstr>
      <vt:lpstr>Consolidation</vt:lpstr>
      <vt:lpstr>VBA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aysha fina</cp:lastModifiedBy>
  <dcterms:created xsi:type="dcterms:W3CDTF">2025-10-25T09:15:26Z</dcterms:created>
  <dcterms:modified xsi:type="dcterms:W3CDTF">2026-06-01T04:15:58Z</dcterms:modified>
</cp:coreProperties>
</file>